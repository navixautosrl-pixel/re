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duse" sheetId="1" state="visible" r:id="rId3"/>
    <sheet name="Ipoteze" sheetId="2" state="visible" r:id="rId4"/>
  </sheets>
  <definedNames>
    <definedName function="false" hidden="true" localSheetId="0" name="_xlnm._FilterDatabase" vbProcedure="false">Produse!$A$4:$R$34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<sst xmlns="http://schemas.openxmlformats.org/spreadsheetml/2006/main" count="222" uniqueCount="128">
  <si>
    <t xml:space="preserve">30 de produse — cost, preț de vânzare, profit pe comandă (lei)</t>
  </si>
  <si>
    <t xml:space="preserve">Prețurile AliExpress sunt din rezultatele de căutare, nu verificate pe pagină — verifică în coș. Albastru/galben = se poate modifica. Ipotezele de cost sunt în foaia „Ipoteze”. Profitul = ce rămâne după produs, ambalaj, plată, retururi, impozit (și reclamă, unde e cazul).</t>
  </si>
  <si>
    <t xml:space="preserve">#</t>
  </si>
  <si>
    <t xml:space="preserve">Recomandare</t>
  </si>
  <si>
    <t xml:space="preserve">Produs</t>
  </si>
  <si>
    <t xml:space="preserve">Link AliExpress</t>
  </si>
  <si>
    <t xml:space="preserve">Tip link</t>
  </si>
  <si>
    <t xml:space="preserve">Preț AliExpress ($/buc)</t>
  </si>
  <si>
    <t xml:space="preserve">Transport ($/buc)</t>
  </si>
  <si>
    <t xml:space="preserve">Cost ajuns în RO (lei/buc)</t>
  </si>
  <si>
    <t xml:space="preserve">Buc. în ofertă</t>
  </si>
  <si>
    <t xml:space="preserve">Preț vânzare ofertă (lei)</t>
  </si>
  <si>
    <t xml:space="preserve">Concurență RO</t>
  </si>
  <si>
    <t xml:space="preserve">Prețuri concurență</t>
  </si>
  <si>
    <t xml:space="preserve">Cost total comandă fără reclamă (lei)</t>
  </si>
  <si>
    <t xml:space="preserve">PROFIT fără reclamă, client plătește livrarea</t>
  </si>
  <si>
    <t xml:space="preserve">PROFIT cu reclamă moderată, client plătește livrarea</t>
  </si>
  <si>
    <t xml:space="preserve">PROFIT livrare gratuită + reclamă moderată</t>
  </si>
  <si>
    <t xml:space="preserve">Marjă (fără reclamă)</t>
  </si>
  <si>
    <t xml:space="preserve">Observații</t>
  </si>
  <si>
    <t xml:space="preserve">Umplutură spațiu scaune PU (2 buc)</t>
  </si>
  <si>
    <t xml:space="preserve">Deschide</t>
  </si>
  <si>
    <t xml:space="preserve">produs</t>
  </si>
  <si>
    <t xml:space="preserve">Vezi</t>
  </si>
  <si>
    <t xml:space="preserve">eMAG 20–100 lei; Edibazzar 37–49</t>
  </si>
  <si>
    <t xml:space="preserve">Cârlige tetieră (set 8 = 2x4)</t>
  </si>
  <si>
    <t xml:space="preserve">căutare</t>
  </si>
  <si>
    <t xml:space="preserve">eMAG de la 8,11 lei/4 buc</t>
  </si>
  <si>
    <t xml:space="preserve">Bandă protecție portieră 5 m (2 role)</t>
  </si>
  <si>
    <t xml:space="preserve">eMAG 17–31 lei/5 m</t>
  </si>
  <si>
    <t xml:space="preserve">Plasă/buzunar portbagaj velcro (2 buc)</t>
  </si>
  <si>
    <t xml:space="preserve">eMAG 17–19 lei; 24 lei/2</t>
  </si>
  <si>
    <t xml:space="preserve">Răzuitor gheață cu mănușă</t>
  </si>
  <si>
    <t xml:space="preserve">Dedeman 26,08; eMAG 19–40</t>
  </si>
  <si>
    <t xml:space="preserve">TOP 3</t>
  </si>
  <si>
    <t xml:space="preserve">Set 5 perii detailing păr natural</t>
  </si>
  <si>
    <t xml:space="preserve">eMAG 69,68–78,99; OLX 40–55</t>
  </si>
  <si>
    <t xml:space="preserve">Crampoane antiderapante (2 perechi)</t>
  </si>
  <si>
    <t xml:space="preserve">eMAG 39,93–66,55; Veriga 99–189</t>
  </si>
  <si>
    <t xml:space="preserve">⚠ Cere certificare EIP + CE</t>
  </si>
  <si>
    <t xml:space="preserve">Perie șine geam (set 3)</t>
  </si>
  <si>
    <t xml:space="preserve">eMAG de la 4,24 lei</t>
  </si>
  <si>
    <t xml:space="preserve">Sită silicon păr scurgere (set 4)</t>
  </si>
  <si>
    <t xml:space="preserve">eMAG de la 2,94 lei</t>
  </si>
  <si>
    <t xml:space="preserve">Capace silicon extensibile set 6</t>
  </si>
  <si>
    <t xml:space="preserve">eMAG 11–42 lei</t>
  </si>
  <si>
    <t xml:space="preserve">Separatoare sertar extensibile (set 4)</t>
  </si>
  <si>
    <t xml:space="preserve">Elindor 129,99/5; 139,99/8</t>
  </si>
  <si>
    <t xml:space="preserve">Preț AliExpress neverificat</t>
  </si>
  <si>
    <t xml:space="preserve">Cleme cabluri autoadezive (set 40)</t>
  </si>
  <si>
    <t xml:space="preserve">eMAG 9–25 lei</t>
  </si>
  <si>
    <t xml:space="preserve">Saci vidați + pompă (set 8)</t>
  </si>
  <si>
    <t xml:space="preserve">eMAG 45–130 lei</t>
  </si>
  <si>
    <t xml:space="preserve">Covoraș silicon robinet</t>
  </si>
  <si>
    <t xml:space="preserve">eMAG 20–45 lei</t>
  </si>
  <si>
    <t xml:space="preserve">Șnur telefon crossbody + patch (2 buc)</t>
  </si>
  <si>
    <t xml:space="preserve">eMAG 14–30 lei</t>
  </si>
  <si>
    <t xml:space="preserve">Protecții spirală cablu (set 10)</t>
  </si>
  <si>
    <t xml:space="preserve">eMAG 10–20 lei</t>
  </si>
  <si>
    <t xml:space="preserve">Brățară magnetică șuruburi</t>
  </si>
  <si>
    <t xml:space="preserve">eMAG 9,60–90 lei</t>
  </si>
  <si>
    <t xml:space="preserve">Colector praf burghiu (set 2)</t>
  </si>
  <si>
    <t xml:space="preserve">KWB 9,68 lei</t>
  </si>
  <si>
    <t xml:space="preserve">Șablon contur 25 cm cu blocare</t>
  </si>
  <si>
    <t xml:space="preserve">Geko 25 cm 28,08; OLX 70</t>
  </si>
  <si>
    <t xml:space="preserve">4,98$ probabil varianta 5"</t>
  </si>
  <si>
    <t xml:space="preserve">Rolă reutilizabilă păr animale</t>
  </si>
  <si>
    <t xml:space="preserve">eMAG 7–47 lei</t>
  </si>
  <si>
    <t xml:space="preserve">Risc design protejat</t>
  </si>
  <si>
    <t xml:space="preserve">TOP 2</t>
  </si>
  <si>
    <t xml:space="preserve">Covoraș de lins câini/pisici (2 buc)</t>
  </si>
  <si>
    <t xml:space="preserve">eMAG 43,99–45 lei</t>
  </si>
  <si>
    <t xml:space="preserve">Dispenser pungi + 20 role</t>
  </si>
  <si>
    <t xml:space="preserve">eMAG 38–60 lei</t>
  </si>
  <si>
    <t xml:space="preserve">Nu afirma «biodegradabil» fără certificat</t>
  </si>
  <si>
    <t xml:space="preserve">Mănușă toaletaj (pereche)</t>
  </si>
  <si>
    <t xml:space="preserve">eMAG 7–37 lei</t>
  </si>
  <si>
    <t xml:space="preserve">Clopoței avertizare pescuit (set 6)</t>
  </si>
  <si>
    <t xml:space="preserve">eMAG 6 buc 14,90 lei</t>
  </si>
  <si>
    <t xml:space="preserve">Evită variantele cu baterie/LED</t>
  </si>
  <si>
    <t xml:space="preserve">TOP 1</t>
  </si>
  <si>
    <t xml:space="preserve">Kit montaje crap asamblat (fără plumb)</t>
  </si>
  <si>
    <t xml:space="preserve">eMAG kituri 82,50–99 lei</t>
  </si>
  <si>
    <t xml:space="preserve">Fără plumb (restricție REACH)</t>
  </si>
  <si>
    <t xml:space="preserve">Benzi neopren lansete (set 10)</t>
  </si>
  <si>
    <t xml:space="preserve">—</t>
  </si>
  <si>
    <t xml:space="preserve">neverificat</t>
  </si>
  <si>
    <t xml:space="preserve">Manșon neopren cabluri (set 2)</t>
  </si>
  <si>
    <t xml:space="preserve">eMAG 43–81 lei/4 buc</t>
  </si>
  <si>
    <t xml:space="preserve">Țepi irigare teracotă (set 4)</t>
  </si>
  <si>
    <t xml:space="preserve">eMAG 54,73 lei/buc</t>
  </si>
  <si>
    <t xml:space="preserve">Fragil</t>
  </si>
  <si>
    <t xml:space="preserve">Șireturi elastice cu blocare (3 perechi)</t>
  </si>
  <si>
    <t xml:space="preserve">produs (capsule)</t>
  </si>
  <si>
    <t xml:space="preserve">eMAG 28,97/2; OLX 15–26</t>
  </si>
  <si>
    <t xml:space="preserve">Bandă etanșare uși/geam 6 m (2 role)</t>
  </si>
  <si>
    <t xml:space="preserve">eMAG 5,90–56,99 lei</t>
  </si>
  <si>
    <t xml:space="preserve">Verde = profit; roșu = pierdere. TOP 1–3 = recomandările din raport (kit crap, covoraș de lins, perii detailing).</t>
  </si>
  <si>
    <t xml:space="preserve">Ipoteze (celulele galbene se pot modifica — tot tabelul se recalculează)</t>
  </si>
  <si>
    <t xml:space="preserve">Ipoteză</t>
  </si>
  <si>
    <t xml:space="preserve">Valoare</t>
  </si>
  <si>
    <t xml:space="preserve">Sursă / statut</t>
  </si>
  <si>
    <t xml:space="preserve">Curs USD → lei</t>
  </si>
  <si>
    <t xml:space="preserve">BNR 06.10.2026</t>
  </si>
  <si>
    <t xml:space="preserve">Curs EUR → lei</t>
  </si>
  <si>
    <t xml:space="preserve">TVA import (nerecuperabil)</t>
  </si>
  <si>
    <t xml:space="preserve">Cota RO din 1.08.2025; plătit la AliExpress</t>
  </si>
  <si>
    <t xml:space="preserve">Taxă vamală UE pe colet (EUR)</t>
  </si>
  <si>
    <t xml:space="preserve">Din 1.07.2026, colete &lt;150 €, per linie tarifară</t>
  </si>
  <si>
    <t xml:space="preserve">Taxă logistică RO pe colet (lei)</t>
  </si>
  <si>
    <t xml:space="preserve">Legea 239/2025, din 1.01.2026</t>
  </si>
  <si>
    <t xml:space="preserve">Unități pe colet de test</t>
  </si>
  <si>
    <t xml:space="preserve">Marjă siguranță preț/curs</t>
  </si>
  <si>
    <t xml:space="preserve">Ambalaj / comandă (lei)</t>
  </si>
  <si>
    <t xml:space="preserve">Manipulare / comandă (lei)</t>
  </si>
  <si>
    <t xml:space="preserve">Curier / comandă (lei)</t>
  </si>
  <si>
    <t xml:space="preserve">Ipoteză — cere ofertă contractuală</t>
  </si>
  <si>
    <t xml:space="preserve">Platformă / comandă (lei)</t>
  </si>
  <si>
    <t xml:space="preserve">Plată (% din preț)</t>
  </si>
  <si>
    <t xml:space="preserve">Impozit micro (% din preț)</t>
  </si>
  <si>
    <t xml:space="preserve">De confirmat cu contabilul</t>
  </si>
  <si>
    <t xml:space="preserve">Rată retur + refuz ramburs</t>
  </si>
  <si>
    <t xml:space="preserve">Rată defecte</t>
  </si>
  <si>
    <t xml:space="preserve">Reclamă moderată / comandă (lei)</t>
  </si>
  <si>
    <t xml:space="preserve">Ipoteză — se măsoară în test</t>
  </si>
  <si>
    <t xml:space="preserve">Reclamă scumpă / comandă (lei)</t>
  </si>
  <si>
    <t xml:space="preserve">Cost organic / comandă (lei)</t>
  </si>
  <si>
    <t xml:space="preserve">Ipoteză (conținut, mostre)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</si>
</sst>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0"/>
    <numFmt numFmtId="166" formatCode="#,##0.0;[RED]\-#,##0.0"/>
    <numFmt numFmtId="167" formatCode="0%"/>
    <numFmt numFmtId="168" formatCode="0.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u val="single"/>
      <sz val="10"/>
      <color rgb="FF0563C1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E2EFDA"/>
        <bgColor rgb="FFC6EFCE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ill>
        <patternFill patternType="solid">
          <fgColor rgb="FF1F4E78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563C1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E2EFDA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aliexpress.com/item/1005009075326334.html" TargetMode="External"/><Relationship Id="rId2" Type="http://schemas.openxmlformats.org/officeDocument/2006/relationships/hyperlink" Target="https://www.emag.ro/search/suport+depozitare+auto+pt+scaun+aut" TargetMode="External"/><Relationship Id="rId3" Type="http://schemas.openxmlformats.org/officeDocument/2006/relationships/hyperlink" Target="https://www.aliexpress.com/w/wholesale-car-headrest-hook.html" TargetMode="External"/><Relationship Id="rId4" Type="http://schemas.openxmlformats.org/officeDocument/2006/relationships/hyperlink" Target="https://www.emag.ro/search/carlig+tetiera" TargetMode="External"/><Relationship Id="rId5" Type="http://schemas.openxmlformats.org/officeDocument/2006/relationships/hyperlink" Target="https://www.aliexpress.com/i/2261799829562084.html" TargetMode="External"/><Relationship Id="rId6" Type="http://schemas.openxmlformats.org/officeDocument/2006/relationships/hyperlink" Target="https://www.emag.ro/search/banda+protectie+portiera+auto" TargetMode="External"/><Relationship Id="rId7" Type="http://schemas.openxmlformats.org/officeDocument/2006/relationships/hyperlink" Target="https://www.aliexpress.com/w/wholesale-universal-elastic-mesh-net-trunk-bag-holder-pocket.html" TargetMode="External"/><Relationship Id="rId8" Type="http://schemas.openxmlformats.org/officeDocument/2006/relationships/hyperlink" Target="https://www.emag.ro/search/plasa+elastica+portbagaj" TargetMode="External"/><Relationship Id="rId9" Type="http://schemas.openxmlformats.org/officeDocument/2006/relationships/hyperlink" Target="https://www.aliexpress.com/w/wholesale-ice-scraper-glove.html" TargetMode="External"/><Relationship Id="rId10" Type="http://schemas.openxmlformats.org/officeDocument/2006/relationships/hyperlink" Target="https://www.dedeman.ro/ro/racleta-gheata-vgt-cu-perie-si-manusa-46-cm/p/1043733" TargetMode="External"/><Relationship Id="rId11" Type="http://schemas.openxmlformats.org/officeDocument/2006/relationships/hyperlink" Target="https://www.aliexpress.com/item/4000245372739.html" TargetMode="External"/><Relationship Id="rId12" Type="http://schemas.openxmlformats.org/officeDocument/2006/relationships/hyperlink" Target="https://www.emag.ro/search/set+perii+detailing+auto" TargetMode="External"/><Relationship Id="rId13" Type="http://schemas.openxmlformats.org/officeDocument/2006/relationships/hyperlink" Target="https://www.aliexpress.com/w/wholesale-ice-cleats.html" TargetMode="External"/><Relationship Id="rId14" Type="http://schemas.openxmlformats.org/officeDocument/2006/relationships/hyperlink" Target="https://www.emag.ro/search/crampoane+pt+gheata" TargetMode="External"/><Relationship Id="rId15" Type="http://schemas.openxmlformats.org/officeDocument/2006/relationships/hyperlink" Target="https://www.aliexpress.com/i/3256805759442224.html" TargetMode="External"/><Relationship Id="rId16" Type="http://schemas.openxmlformats.org/officeDocument/2006/relationships/hyperlink" Target="https://www.emag.ro/search/perie+etansare+usa+glisanta" TargetMode="External"/><Relationship Id="rId17" Type="http://schemas.openxmlformats.org/officeDocument/2006/relationships/hyperlink" Target="https://www.aliexpress.com/i/3256805407203272.html" TargetMode="External"/><Relationship Id="rId18" Type="http://schemas.openxmlformats.org/officeDocument/2006/relationships/hyperlink" Target="https://www.emag.ro/search/sita+silicon+baie" TargetMode="External"/><Relationship Id="rId19" Type="http://schemas.openxmlformats.org/officeDocument/2006/relationships/hyperlink" Target="https://www.aliexpress.com/i/3256801543029347.html" TargetMode="External"/><Relationship Id="rId20" Type="http://schemas.openxmlformats.org/officeDocument/2006/relationships/hyperlink" Target="https://www.emag.ro/search/capace+flexibile+silicon" TargetMode="External"/><Relationship Id="rId21" Type="http://schemas.openxmlformats.org/officeDocument/2006/relationships/hyperlink" Target="https://www.aliexpress.com/item/1005006448473250.html" TargetMode="External"/><Relationship Id="rId22" Type="http://schemas.openxmlformats.org/officeDocument/2006/relationships/hyperlink" Target="https://www.emag.ro/search/separator+sertar" TargetMode="External"/><Relationship Id="rId23" Type="http://schemas.openxmlformats.org/officeDocument/2006/relationships/hyperlink" Target="https://aliexpress.com/item/1005004848227575.html" TargetMode="External"/><Relationship Id="rId24" Type="http://schemas.openxmlformats.org/officeDocument/2006/relationships/hyperlink" Target="https://www.emag.ro/search/cleme+autoadezive+pentru+cabluri" TargetMode="External"/><Relationship Id="rId25" Type="http://schemas.openxmlformats.org/officeDocument/2006/relationships/hyperlink" Target="https://www.aliexpress.com/w/wholesale-vacuum-pump-manual-with-bags-for-storage.html" TargetMode="External"/><Relationship Id="rId26" Type="http://schemas.openxmlformats.org/officeDocument/2006/relationships/hyperlink" Target="https://www.emag.ro/search/saci+vidat+cu+pompa" TargetMode="External"/><Relationship Id="rId27" Type="http://schemas.openxmlformats.org/officeDocument/2006/relationships/hyperlink" Target="https://aliexpress.com/item/1005004849551648.html" TargetMode="External"/><Relationship Id="rId28" Type="http://schemas.openxmlformats.org/officeDocument/2006/relationships/hyperlink" Target="https://www.emag.ro/search/protectie+antistropi+chiuveta" TargetMode="External"/><Relationship Id="rId29" Type="http://schemas.openxmlformats.org/officeDocument/2006/relationships/hyperlink" Target="https://www.aliexpress.com/w/wholesale-cell-phone-strap.html" TargetMode="External"/><Relationship Id="rId30" Type="http://schemas.openxmlformats.org/officeDocument/2006/relationships/hyperlink" Target="https://www.emag.ro/search/snur+pentru+telefon" TargetMode="External"/><Relationship Id="rId31" Type="http://schemas.openxmlformats.org/officeDocument/2006/relationships/hyperlink" Target="https://www.aliexpress.com/w/wholesale-spiral-cable-protectors.html" TargetMode="External"/><Relationship Id="rId32" Type="http://schemas.openxmlformats.org/officeDocument/2006/relationships/hyperlink" Target="https://www.emag.ro/search/protectie+cabluri+spirala" TargetMode="External"/><Relationship Id="rId33" Type="http://schemas.openxmlformats.org/officeDocument/2006/relationships/hyperlink" Target="https://www.aliexpress.com/item/1005006047319863.html" TargetMode="External"/><Relationship Id="rId34" Type="http://schemas.openxmlformats.org/officeDocument/2006/relationships/hyperlink" Target="https://www.emag.ro/search/bratara+magnetica+scule" TargetMode="External"/><Relationship Id="rId35" Type="http://schemas.openxmlformats.org/officeDocument/2006/relationships/hyperlink" Target="https://www.aliexpress.com/i/3256802067619153.html" TargetMode="External"/><Relationship Id="rId36" Type="http://schemas.openxmlformats.org/officeDocument/2006/relationships/hyperlink" Target="https://www.emag.ro/dispozitiv-colectare-praf-pentru-burghie-de-la-4-la-10-mm-kwb-high-quality-49045400/pd/DF2N03MBM/" TargetMode="External"/><Relationship Id="rId37" Type="http://schemas.openxmlformats.org/officeDocument/2006/relationships/hyperlink" Target="https://www.aliexpress.com/item/1005002871976914.html" TargetMode="External"/><Relationship Id="rId38" Type="http://schemas.openxmlformats.org/officeDocument/2006/relationships/hyperlink" Target="https://www.emag.ro/search/sablon+pentru+contur" TargetMode="External"/><Relationship Id="rId39" Type="http://schemas.openxmlformats.org/officeDocument/2006/relationships/hyperlink" Target="https://www.aliexpress.com/i/3256804294902679.html" TargetMode="External"/><Relationship Id="rId40" Type="http://schemas.openxmlformats.org/officeDocument/2006/relationships/hyperlink" Target="https://www.emag.ro/search/role+par+animale" TargetMode="External"/><Relationship Id="rId41" Type="http://schemas.openxmlformats.org/officeDocument/2006/relationships/hyperlink" Target="https://www.aliexpress.com/w/wholesale-dog-licking-mat.html" TargetMode="External"/><Relationship Id="rId42" Type="http://schemas.openxmlformats.org/officeDocument/2006/relationships/hyperlink" Target="https://www.emag.ro/covoras-hranire-lick-mat-pentru-caini-pisic-cu-ventuze-de-aspiratie-silikon-negru-1140570288/pd/D9568KYBM/" TargetMode="External"/><Relationship Id="rId43" Type="http://schemas.openxmlformats.org/officeDocument/2006/relationships/hyperlink" Target="https://www.aliexpress.com/w/wholesale-dog-waste-bag.html" TargetMode="External"/><Relationship Id="rId44" Type="http://schemas.openxmlformats.org/officeDocument/2006/relationships/hyperlink" Target="https://www.emag.ro/search/suport+pungi+caini" TargetMode="External"/><Relationship Id="rId45" Type="http://schemas.openxmlformats.org/officeDocument/2006/relationships/hyperlink" Target="https://www.aliexpress.com/item/1005009354531044.html" TargetMode="External"/><Relationship Id="rId46" Type="http://schemas.openxmlformats.org/officeDocument/2006/relationships/hyperlink" Target="https://www.emag.ro/search/perie+pisica" TargetMode="External"/><Relationship Id="rId47" Type="http://schemas.openxmlformats.org/officeDocument/2006/relationships/hyperlink" Target="https://www.aliexpress.com/i/3256812162045661.html" TargetMode="External"/><Relationship Id="rId48" Type="http://schemas.openxmlformats.org/officeDocument/2006/relationships/hyperlink" Target="https://www.emag.ro/search/clopotel+fir+pescuit" TargetMode="External"/><Relationship Id="rId49" Type="http://schemas.openxmlformats.org/officeDocument/2006/relationships/hyperlink" Target="https://www.aliexpress.com/item/1005010069471820.html" TargetMode="External"/><Relationship Id="rId50" Type="http://schemas.openxmlformats.org/officeDocument/2006/relationships/hyperlink" Target="https://www.emag.ro/search/pescuit+monturi+crap" TargetMode="External"/><Relationship Id="rId51" Type="http://schemas.openxmlformats.org/officeDocument/2006/relationships/hyperlink" Target="https://www.aliexpress.com/i/32964487696.html" TargetMode="External"/><Relationship Id="rId52" Type="http://schemas.openxmlformats.org/officeDocument/2006/relationships/hyperlink" Target="https://www.aliexpress.com/item/4000332129057.html" TargetMode="External"/><Relationship Id="rId53" Type="http://schemas.openxmlformats.org/officeDocument/2006/relationships/hyperlink" Target="https://www.emag.ro/search/mascare+cabluri" TargetMode="External"/><Relationship Id="rId54" Type="http://schemas.openxmlformats.org/officeDocument/2006/relationships/hyperlink" Target="https://ja.aliexpress.com/item/1005006070552191.html" TargetMode="External"/><Relationship Id="rId55" Type="http://schemas.openxmlformats.org/officeDocument/2006/relationships/hyperlink" Target="https://www.emag.ro/search/teracota+irigare" TargetMode="External"/><Relationship Id="rId56" Type="http://schemas.openxmlformats.org/officeDocument/2006/relationships/hyperlink" Target="https://www.aliexpress.com/i/3256804227925312.html" TargetMode="External"/><Relationship Id="rId57" Type="http://schemas.openxmlformats.org/officeDocument/2006/relationships/hyperlink" Target="https://www.emag.ro/search/sireturi+elastice" TargetMode="External"/><Relationship Id="rId58" Type="http://schemas.openxmlformats.org/officeDocument/2006/relationships/hyperlink" Target="https://www.aliexpress.com/w/wholesale-door-gap-seal.html" TargetMode="External"/><Relationship Id="rId59" Type="http://schemas.openxmlformats.org/officeDocument/2006/relationships/hyperlink" Target="https://www.emag.ro/search/banda+etansare+usa" TargetMode="External"/><Relationship Id="rId60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2"/>
    <col collapsed="false" customWidth="true" hidden="false" outlineLevel="0" max="3" min="3" style="0" width="36"/>
    <col collapsed="false" customWidth="true" hidden="false" outlineLevel="0" max="4" min="4" style="0" width="11"/>
    <col collapsed="false" customWidth="true" hidden="false" outlineLevel="0" max="5" min="5" style="0" width="10"/>
    <col collapsed="false" customWidth="true" hidden="false" outlineLevel="0" max="6" min="6" style="0" width="11"/>
    <col collapsed="false" customWidth="true" hidden="false" outlineLevel="0" max="7" min="7" style="0" width="10"/>
    <col collapsed="false" customWidth="true" hidden="false" outlineLevel="0" max="8" min="8" style="0" width="12"/>
    <col collapsed="false" customWidth="true" hidden="false" outlineLevel="0" max="9" min="9" style="0" width="8"/>
    <col collapsed="false" customWidth="true" hidden="false" outlineLevel="0" max="10" min="10" style="0" width="11"/>
    <col collapsed="false" customWidth="true" hidden="false" outlineLevel="0" max="11" min="11" style="0" width="9"/>
    <col collapsed="false" customWidth="true" hidden="false" outlineLevel="0" max="12" min="12" style="0" width="26"/>
    <col collapsed="false" customWidth="true" hidden="false" outlineLevel="0" max="13" min="13" style="0" width="13"/>
    <col collapsed="false" customWidth="true" hidden="false" outlineLevel="0" max="16" min="14" style="0" width="15"/>
    <col collapsed="false" customWidth="true" hidden="false" outlineLevel="0" max="17" min="17" style="0" width="9"/>
    <col collapsed="false" customWidth="true" hidden="false" outlineLevel="0" max="18" min="18" style="0" width="30"/>
  </cols>
  <sheetData>
    <row r="1" customFormat="false" ht="15" hidden="false" customHeight="false" outlineLevel="0" collapsed="false">
      <c r="A1" s="1" t="s">
        <v>0</v>
      </c>
    </row>
    <row r="2" customFormat="false" ht="30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4" customFormat="false" ht="57.7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  <c r="R4" s="3" t="s">
        <v>19</v>
      </c>
    </row>
    <row r="5" customFormat="false" ht="15" hidden="false" customHeight="false" outlineLevel="0" collapsed="false">
      <c r="A5" s="4" t="n">
        <v>1</v>
      </c>
      <c r="B5" s="4"/>
      <c r="C5" s="4" t="s">
        <v>20</v>
      </c>
      <c r="D5" s="5" t="s">
        <v>21</v>
      </c>
      <c r="E5" s="4" t="s">
        <v>22</v>
      </c>
      <c r="F5" s="6" t="n">
        <v>2</v>
      </c>
      <c r="G5" s="6" t="n">
        <v>0.5</v>
      </c>
      <c r="H5" s="7" t="n">
        <f aca="false">(F5*Ipoteze!$B$4*(1+Ipoteze!$B$6)+G5*Ipoteze!$B$4+(Ipoteze!$B$7*Ipoteze!$B$5+Ipoteze!$B$8)/Ipoteze!$B$9)*(1+Ipoteze!$B$10)</f>
        <v>15.4612857</v>
      </c>
      <c r="I5" s="8" t="n">
        <v>1</v>
      </c>
      <c r="J5" s="8" t="n">
        <v>49</v>
      </c>
      <c r="K5" s="5" t="s">
        <v>23</v>
      </c>
      <c r="L5" s="4" t="s">
        <v>24</v>
      </c>
      <c r="M5" s="7" t="n">
        <f aca="false">I5*H5+Ipoteze!$B$11+Ipoteze!$B$12+Ipoteze!$B$14+J5*(Ipoteze!$B$15+Ipoteze!$B$16)+Ipoteze!$B$17*(Ipoteze!$B$13+0.5*I5*H5)+Ipoteze!$B$18*(H5+Ipoteze!$B$13)+Ipoteze!$B$21</f>
        <v>28.133962842</v>
      </c>
      <c r="N5" s="7" t="n">
        <f aca="false">J5-M5</f>
        <v>20.866037158</v>
      </c>
      <c r="O5" s="7" t="n">
        <f aca="false">N5+Ipoteze!$B$21-Ipoteze!$B$19</f>
        <v>3.866037158</v>
      </c>
      <c r="P5" s="7" t="n">
        <f aca="false">O5-Ipoteze!$B$13</f>
        <v>-13.133962842</v>
      </c>
      <c r="Q5" s="9" t="n">
        <f aca="false">IFERROR(N5/J5,0)</f>
        <v>0.425837493020408</v>
      </c>
      <c r="R5" s="4"/>
    </row>
    <row r="6" customFormat="false" ht="15" hidden="false" customHeight="false" outlineLevel="0" collapsed="false">
      <c r="A6" s="4" t="n">
        <v>2</v>
      </c>
      <c r="B6" s="4"/>
      <c r="C6" s="4" t="s">
        <v>25</v>
      </c>
      <c r="D6" s="5" t="s">
        <v>21</v>
      </c>
      <c r="E6" s="4" t="s">
        <v>26</v>
      </c>
      <c r="F6" s="6" t="n">
        <v>1</v>
      </c>
      <c r="G6" s="6" t="n">
        <v>0.15</v>
      </c>
      <c r="H6" s="7" t="n">
        <f aca="false">(F6*Ipoteze!$B$4*(1+Ipoteze!$B$6)+G6*Ipoteze!$B$4+(Ipoteze!$B$7*Ipoteze!$B$5+Ipoteze!$B$8)/Ipoteze!$B$9)*(1+Ipoteze!$B$10)</f>
        <v>7.6617849</v>
      </c>
      <c r="I6" s="8" t="n">
        <v>2</v>
      </c>
      <c r="J6" s="8" t="n">
        <v>29</v>
      </c>
      <c r="K6" s="5" t="s">
        <v>23</v>
      </c>
      <c r="L6" s="4" t="s">
        <v>27</v>
      </c>
      <c r="M6" s="7" t="n">
        <f aca="false">I6*H6+Ipoteze!$B$11+Ipoteze!$B$12+Ipoteze!$B$14+J6*(Ipoteze!$B$15+Ipoteze!$B$16)+Ipoteze!$B$17*(Ipoteze!$B$13+0.5*I6*H6)+Ipoteze!$B$18*(H6+Ipoteze!$B$13)+Ipoteze!$B$21</f>
        <v>27.058130441</v>
      </c>
      <c r="N6" s="7" t="n">
        <f aca="false">J6-M6</f>
        <v>1.941869559</v>
      </c>
      <c r="O6" s="7" t="n">
        <f aca="false">N6+Ipoteze!$B$21-Ipoteze!$B$19</f>
        <v>-15.058130441</v>
      </c>
      <c r="P6" s="7" t="n">
        <f aca="false">O6-Ipoteze!$B$13</f>
        <v>-32.058130441</v>
      </c>
      <c r="Q6" s="9" t="n">
        <f aca="false">IFERROR(N6/J6,0)</f>
        <v>0.0669610192758621</v>
      </c>
      <c r="R6" s="4"/>
    </row>
    <row r="7" customFormat="false" ht="15" hidden="false" customHeight="false" outlineLevel="0" collapsed="false">
      <c r="A7" s="4" t="n">
        <v>3</v>
      </c>
      <c r="B7" s="4"/>
      <c r="C7" s="4" t="s">
        <v>28</v>
      </c>
      <c r="D7" s="5" t="s">
        <v>21</v>
      </c>
      <c r="E7" s="4" t="s">
        <v>22</v>
      </c>
      <c r="F7" s="6" t="n">
        <v>1.33</v>
      </c>
      <c r="G7" s="6" t="n">
        <v>0.5</v>
      </c>
      <c r="H7" s="7" t="n">
        <f aca="false">(F7*Ipoteze!$B$4*(1+Ipoteze!$B$6)+G7*Ipoteze!$B$4+(Ipoteze!$B$7*Ipoteze!$B$5+Ipoteze!$B$8)/Ipoteze!$B$9)*(1+Ipoteze!$B$10)</f>
        <v>11.408045124</v>
      </c>
      <c r="I7" s="8" t="n">
        <v>2</v>
      </c>
      <c r="J7" s="8" t="n">
        <v>45</v>
      </c>
      <c r="K7" s="5" t="s">
        <v>23</v>
      </c>
      <c r="L7" s="4" t="s">
        <v>29</v>
      </c>
      <c r="M7" s="7" t="n">
        <f aca="false">I7*H7+Ipoteze!$B$11+Ipoteze!$B$12+Ipoteze!$B$14+J7*(Ipoteze!$B$15+Ipoteze!$B$16)+Ipoteze!$B$17*(Ipoteze!$B$13+0.5*I7*H7)+Ipoteze!$B$18*(H7+Ipoteze!$B$13)+Ipoteze!$B$21</f>
        <v>35.44781430916</v>
      </c>
      <c r="N7" s="7" t="n">
        <f aca="false">J7-M7</f>
        <v>9.55218569084001</v>
      </c>
      <c r="O7" s="7" t="n">
        <f aca="false">N7+Ipoteze!$B$21-Ipoteze!$B$19</f>
        <v>-7.44781430916</v>
      </c>
      <c r="P7" s="7" t="n">
        <f aca="false">O7-Ipoteze!$B$13</f>
        <v>-24.44781430916</v>
      </c>
      <c r="Q7" s="9" t="n">
        <f aca="false">IFERROR(N7/J7,0)</f>
        <v>0.212270793129778</v>
      </c>
      <c r="R7" s="4"/>
    </row>
    <row r="8" customFormat="false" ht="15" hidden="false" customHeight="false" outlineLevel="0" collapsed="false">
      <c r="A8" s="4" t="n">
        <v>4</v>
      </c>
      <c r="B8" s="4"/>
      <c r="C8" s="4" t="s">
        <v>30</v>
      </c>
      <c r="D8" s="5" t="s">
        <v>21</v>
      </c>
      <c r="E8" s="4" t="s">
        <v>26</v>
      </c>
      <c r="F8" s="6" t="n">
        <v>1.5</v>
      </c>
      <c r="G8" s="6" t="n">
        <v>0.5</v>
      </c>
      <c r="H8" s="7" t="n">
        <f aca="false">(F8*Ipoteze!$B$4*(1+Ipoteze!$B$6)+G8*Ipoteze!$B$4+(Ipoteze!$B$7*Ipoteze!$B$5+Ipoteze!$B$8)/Ipoteze!$B$9)*(1+Ipoteze!$B$10)</f>
        <v>12.4364793</v>
      </c>
      <c r="I8" s="8" t="n">
        <v>2</v>
      </c>
      <c r="J8" s="8" t="n">
        <v>39</v>
      </c>
      <c r="K8" s="5" t="s">
        <v>23</v>
      </c>
      <c r="L8" s="4" t="s">
        <v>31</v>
      </c>
      <c r="M8" s="7" t="n">
        <f aca="false">I8*H8+Ipoteze!$B$11+Ipoteze!$B$12+Ipoteze!$B$14+J8*(Ipoteze!$B$15+Ipoteze!$B$16)+Ipoteze!$B$17*(Ipoteze!$B$13+0.5*I8*H8)+Ipoteze!$B$18*(H8+Ipoteze!$B$13)+Ipoteze!$B$21</f>
        <v>37.387241737</v>
      </c>
      <c r="N8" s="7" t="n">
        <f aca="false">J8-M8</f>
        <v>1.612758263</v>
      </c>
      <c r="O8" s="7" t="n">
        <f aca="false">N8+Ipoteze!$B$21-Ipoteze!$B$19</f>
        <v>-15.387241737</v>
      </c>
      <c r="P8" s="7" t="n">
        <f aca="false">O8-Ipoteze!$B$13</f>
        <v>-32.387241737</v>
      </c>
      <c r="Q8" s="9" t="n">
        <f aca="false">IFERROR(N8/J8,0)</f>
        <v>0.0413527759743591</v>
      </c>
      <c r="R8" s="4"/>
    </row>
    <row r="9" customFormat="false" ht="15" hidden="false" customHeight="false" outlineLevel="0" collapsed="false">
      <c r="A9" s="4" t="n">
        <v>5</v>
      </c>
      <c r="B9" s="4"/>
      <c r="C9" s="4" t="s">
        <v>32</v>
      </c>
      <c r="D9" s="5" t="s">
        <v>21</v>
      </c>
      <c r="E9" s="4" t="s">
        <v>26</v>
      </c>
      <c r="F9" s="6" t="n">
        <v>2.5</v>
      </c>
      <c r="G9" s="6" t="n">
        <v>0.5</v>
      </c>
      <c r="H9" s="7" t="n">
        <f aca="false">(F9*Ipoteze!$B$4*(1+Ipoteze!$B$6)+G9*Ipoteze!$B$4+(Ipoteze!$B$7*Ipoteze!$B$5+Ipoteze!$B$8)/Ipoteze!$B$9)*(1+Ipoteze!$B$10)</f>
        <v>18.4860921</v>
      </c>
      <c r="I9" s="8" t="n">
        <v>1</v>
      </c>
      <c r="J9" s="8" t="n">
        <v>39</v>
      </c>
      <c r="K9" s="5" t="s">
        <v>23</v>
      </c>
      <c r="L9" s="4" t="s">
        <v>33</v>
      </c>
      <c r="M9" s="7" t="n">
        <f aca="false">I9*H9+Ipoteze!$B$11+Ipoteze!$B$12+Ipoteze!$B$14+J9*(Ipoteze!$B$15+Ipoteze!$B$16)+Ipoteze!$B$17*(Ipoteze!$B$13+0.5*I9*H9)+Ipoteze!$B$18*(H9+Ipoteze!$B$13)+Ipoteze!$B$21</f>
        <v>30.990257626</v>
      </c>
      <c r="N9" s="7" t="n">
        <f aca="false">J9-M9</f>
        <v>8.009742374</v>
      </c>
      <c r="O9" s="7" t="n">
        <f aca="false">N9+Ipoteze!$B$21-Ipoteze!$B$19</f>
        <v>-8.990257626</v>
      </c>
      <c r="P9" s="7" t="n">
        <f aca="false">O9-Ipoteze!$B$13</f>
        <v>-25.990257626</v>
      </c>
      <c r="Q9" s="9" t="n">
        <f aca="false">IFERROR(N9/J9,0)</f>
        <v>0.205378009589744</v>
      </c>
      <c r="R9" s="4"/>
    </row>
    <row r="10" customFormat="false" ht="15" hidden="false" customHeight="false" outlineLevel="0" collapsed="false">
      <c r="A10" s="10" t="n">
        <v>6</v>
      </c>
      <c r="B10" s="11" t="s">
        <v>34</v>
      </c>
      <c r="C10" s="10" t="s">
        <v>35</v>
      </c>
      <c r="D10" s="5" t="s">
        <v>21</v>
      </c>
      <c r="E10" s="4" t="s">
        <v>22</v>
      </c>
      <c r="F10" s="6" t="n">
        <v>4.93</v>
      </c>
      <c r="G10" s="6" t="n">
        <v>0.5</v>
      </c>
      <c r="H10" s="7" t="n">
        <f aca="false">(F10*Ipoteze!$B$4*(1+Ipoteze!$B$6)+G10*Ipoteze!$B$4+(Ipoteze!$B$7*Ipoteze!$B$5+Ipoteze!$B$8)/Ipoteze!$B$9)*(1+Ipoteze!$B$10)</f>
        <v>33.186651204</v>
      </c>
      <c r="I10" s="8" t="n">
        <v>1</v>
      </c>
      <c r="J10" s="8" t="n">
        <v>79</v>
      </c>
      <c r="K10" s="5" t="s">
        <v>23</v>
      </c>
      <c r="L10" s="4" t="s">
        <v>36</v>
      </c>
      <c r="M10" s="7" t="n">
        <f aca="false">I10*H10+Ipoteze!$B$11+Ipoteze!$B$12+Ipoteze!$B$14+J10*(Ipoteze!$B$15+Ipoteze!$B$16)+Ipoteze!$B$17*(Ipoteze!$B$13+0.5*I10*H10)+Ipoteze!$B$18*(H10+Ipoteze!$B$13)+Ipoteze!$B$21</f>
        <v>47.97285027624</v>
      </c>
      <c r="N10" s="7" t="n">
        <f aca="false">J10-M10</f>
        <v>31.02714972376</v>
      </c>
      <c r="O10" s="7" t="n">
        <f aca="false">N10+Ipoteze!$B$21-Ipoteze!$B$19</f>
        <v>14.02714972376</v>
      </c>
      <c r="P10" s="7" t="n">
        <f aca="false">O10-Ipoteze!$B$13</f>
        <v>-2.97285027624</v>
      </c>
      <c r="Q10" s="9" t="n">
        <f aca="false">IFERROR(N10/J10,0)</f>
        <v>0.392748730680506</v>
      </c>
      <c r="R10" s="4"/>
    </row>
    <row r="11" customFormat="false" ht="15" hidden="false" customHeight="false" outlineLevel="0" collapsed="false">
      <c r="A11" s="4" t="n">
        <v>7</v>
      </c>
      <c r="B11" s="4"/>
      <c r="C11" s="4" t="s">
        <v>37</v>
      </c>
      <c r="D11" s="5" t="s">
        <v>21</v>
      </c>
      <c r="E11" s="4" t="s">
        <v>26</v>
      </c>
      <c r="F11" s="6" t="n">
        <v>3</v>
      </c>
      <c r="G11" s="6" t="n">
        <v>0.5</v>
      </c>
      <c r="H11" s="7" t="n">
        <f aca="false">(F11*Ipoteze!$B$4*(1+Ipoteze!$B$6)+G11*Ipoteze!$B$4+(Ipoteze!$B$7*Ipoteze!$B$5+Ipoteze!$B$8)/Ipoteze!$B$9)*(1+Ipoteze!$B$10)</f>
        <v>21.5108985</v>
      </c>
      <c r="I11" s="8" t="n">
        <v>2</v>
      </c>
      <c r="J11" s="8" t="n">
        <v>69</v>
      </c>
      <c r="K11" s="5" t="s">
        <v>23</v>
      </c>
      <c r="L11" s="4" t="s">
        <v>38</v>
      </c>
      <c r="M11" s="7" t="n">
        <f aca="false">I11*H11+Ipoteze!$B$11+Ipoteze!$B$12+Ipoteze!$B$14+J11*(Ipoteze!$B$15+Ipoteze!$B$16)+Ipoteze!$B$17*(Ipoteze!$B$13+0.5*I11*H11)+Ipoteze!$B$18*(H11+Ipoteze!$B$13)+Ipoteze!$B$21</f>
        <v>57.402777865</v>
      </c>
      <c r="N11" s="7" t="n">
        <f aca="false">J11-M11</f>
        <v>11.597222135</v>
      </c>
      <c r="O11" s="7" t="n">
        <f aca="false">N11+Ipoteze!$B$21-Ipoteze!$B$19</f>
        <v>-5.402777865</v>
      </c>
      <c r="P11" s="7" t="n">
        <f aca="false">O11-Ipoteze!$B$13</f>
        <v>-22.402777865</v>
      </c>
      <c r="Q11" s="9" t="n">
        <f aca="false">IFERROR(N11/J11,0)</f>
        <v>0.168075683115942</v>
      </c>
      <c r="R11" s="4" t="s">
        <v>39</v>
      </c>
    </row>
    <row r="12" customFormat="false" ht="15" hidden="false" customHeight="false" outlineLevel="0" collapsed="false">
      <c r="A12" s="4" t="n">
        <v>8</v>
      </c>
      <c r="B12" s="4"/>
      <c r="C12" s="4" t="s">
        <v>40</v>
      </c>
      <c r="D12" s="5" t="s">
        <v>21</v>
      </c>
      <c r="E12" s="4" t="s">
        <v>22</v>
      </c>
      <c r="F12" s="6" t="n">
        <v>1</v>
      </c>
      <c r="G12" s="6" t="n">
        <v>0.15</v>
      </c>
      <c r="H12" s="7" t="n">
        <f aca="false">(F12*Ipoteze!$B$4*(1+Ipoteze!$B$6)+G12*Ipoteze!$B$4+(Ipoteze!$B$7*Ipoteze!$B$5+Ipoteze!$B$8)/Ipoteze!$B$9)*(1+Ipoteze!$B$10)</f>
        <v>7.6617849</v>
      </c>
      <c r="I12" s="8" t="n">
        <v>3</v>
      </c>
      <c r="J12" s="8" t="n">
        <v>25</v>
      </c>
      <c r="K12" s="5" t="s">
        <v>23</v>
      </c>
      <c r="L12" s="4" t="s">
        <v>41</v>
      </c>
      <c r="M12" s="7" t="n">
        <f aca="false">I12*H12+Ipoteze!$B$11+Ipoteze!$B$12+Ipoteze!$B$14+J12*(Ipoteze!$B$15+Ipoteze!$B$16)+Ipoteze!$B$17*(Ipoteze!$B$13+0.5*I12*H12)+Ipoteze!$B$18*(H12+Ipoteze!$B$13)+Ipoteze!$B$21</f>
        <v>34.809768888</v>
      </c>
      <c r="N12" s="7" t="n">
        <f aca="false">J12-M12</f>
        <v>-9.809768888</v>
      </c>
      <c r="O12" s="7" t="n">
        <f aca="false">N12+Ipoteze!$B$21-Ipoteze!$B$19</f>
        <v>-26.809768888</v>
      </c>
      <c r="P12" s="7" t="n">
        <f aca="false">O12-Ipoteze!$B$13</f>
        <v>-43.809768888</v>
      </c>
      <c r="Q12" s="9" t="n">
        <f aca="false">IFERROR(N12/J12,0)</f>
        <v>-0.39239075552</v>
      </c>
      <c r="R12" s="4"/>
    </row>
    <row r="13" customFormat="false" ht="15" hidden="false" customHeight="false" outlineLevel="0" collapsed="false">
      <c r="A13" s="4" t="n">
        <v>9</v>
      </c>
      <c r="B13" s="4"/>
      <c r="C13" s="4" t="s">
        <v>42</v>
      </c>
      <c r="D13" s="5" t="s">
        <v>21</v>
      </c>
      <c r="E13" s="4" t="s">
        <v>22</v>
      </c>
      <c r="F13" s="6" t="n">
        <v>1.09</v>
      </c>
      <c r="G13" s="6" t="n">
        <v>0.15</v>
      </c>
      <c r="H13" s="7" t="n">
        <f aca="false">(F13*Ipoteze!$B$4*(1+Ipoteze!$B$6)+G13*Ipoteze!$B$4+(Ipoteze!$B$7*Ipoteze!$B$5+Ipoteze!$B$8)/Ipoteze!$B$9)*(1+Ipoteze!$B$10)</f>
        <v>8.206250052</v>
      </c>
      <c r="I13" s="8" t="n">
        <v>4</v>
      </c>
      <c r="J13" s="8" t="n">
        <v>29</v>
      </c>
      <c r="K13" s="5" t="s">
        <v>23</v>
      </c>
      <c r="L13" s="4" t="s">
        <v>43</v>
      </c>
      <c r="M13" s="7" t="n">
        <f aca="false">I13*H13+Ipoteze!$B$11+Ipoteze!$B$12+Ipoteze!$B$14+J13*(Ipoteze!$B$15+Ipoteze!$B$16)+Ipoteze!$B$17*(Ipoteze!$B$13+0.5*I13*H13)+Ipoteze!$B$18*(H13+Ipoteze!$B$13)+Ipoteze!$B$21</f>
        <v>45.1009377158</v>
      </c>
      <c r="N13" s="7" t="n">
        <f aca="false">J13-M13</f>
        <v>-16.1009377158</v>
      </c>
      <c r="O13" s="7" t="n">
        <f aca="false">N13+Ipoteze!$B$21-Ipoteze!$B$19</f>
        <v>-33.1009377158</v>
      </c>
      <c r="P13" s="7" t="n">
        <f aca="false">O13-Ipoteze!$B$13</f>
        <v>-50.1009377158</v>
      </c>
      <c r="Q13" s="9" t="n">
        <f aca="false">IFERROR(N13/J13,0)</f>
        <v>-0.55520474882069</v>
      </c>
      <c r="R13" s="4"/>
    </row>
    <row r="14" customFormat="false" ht="15" hidden="false" customHeight="false" outlineLevel="0" collapsed="false">
      <c r="A14" s="4" t="n">
        <v>10</v>
      </c>
      <c r="B14" s="4"/>
      <c r="C14" s="4" t="s">
        <v>44</v>
      </c>
      <c r="D14" s="5" t="s">
        <v>21</v>
      </c>
      <c r="E14" s="4" t="s">
        <v>22</v>
      </c>
      <c r="F14" s="6" t="n">
        <v>2</v>
      </c>
      <c r="G14" s="6" t="n">
        <v>0.5</v>
      </c>
      <c r="H14" s="7" t="n">
        <f aca="false">(F14*Ipoteze!$B$4*(1+Ipoteze!$B$6)+G14*Ipoteze!$B$4+(Ipoteze!$B$7*Ipoteze!$B$5+Ipoteze!$B$8)/Ipoteze!$B$9)*(1+Ipoteze!$B$10)</f>
        <v>15.4612857</v>
      </c>
      <c r="I14" s="8" t="n">
        <v>1</v>
      </c>
      <c r="J14" s="8" t="n">
        <v>39</v>
      </c>
      <c r="K14" s="5" t="s">
        <v>23</v>
      </c>
      <c r="L14" s="4" t="s">
        <v>45</v>
      </c>
      <c r="M14" s="7" t="n">
        <f aca="false">I14*H14+Ipoteze!$B$11+Ipoteze!$B$12+Ipoteze!$B$14+J14*(Ipoteze!$B$15+Ipoteze!$B$16)+Ipoteze!$B$17*(Ipoteze!$B$13+0.5*I14*H14)+Ipoteze!$B$18*(H14+Ipoteze!$B$13)+Ipoteze!$B$21</f>
        <v>27.783962842</v>
      </c>
      <c r="N14" s="7" t="n">
        <f aca="false">J14-M14</f>
        <v>11.216037158</v>
      </c>
      <c r="O14" s="7" t="n">
        <f aca="false">N14+Ipoteze!$B$21-Ipoteze!$B$19</f>
        <v>-5.783962842</v>
      </c>
      <c r="P14" s="7" t="n">
        <f aca="false">O14-Ipoteze!$B$13</f>
        <v>-22.783962842</v>
      </c>
      <c r="Q14" s="9" t="n">
        <f aca="false">IFERROR(N14/J14,0)</f>
        <v>0.287590696358974</v>
      </c>
      <c r="R14" s="4"/>
    </row>
    <row r="15" customFormat="false" ht="15" hidden="false" customHeight="false" outlineLevel="0" collapsed="false">
      <c r="A15" s="4" t="n">
        <v>11</v>
      </c>
      <c r="B15" s="4"/>
      <c r="C15" s="4" t="s">
        <v>46</v>
      </c>
      <c r="D15" s="5" t="s">
        <v>21</v>
      </c>
      <c r="E15" s="4" t="s">
        <v>22</v>
      </c>
      <c r="F15" s="6" t="n">
        <v>3</v>
      </c>
      <c r="G15" s="6" t="n">
        <v>1.5</v>
      </c>
      <c r="H15" s="7" t="n">
        <f aca="false">(F15*Ipoteze!$B$4*(1+Ipoteze!$B$6)+G15*Ipoteze!$B$4+(Ipoteze!$B$7*Ipoteze!$B$5+Ipoteze!$B$8)/Ipoteze!$B$9)*(1+Ipoteze!$B$10)</f>
        <v>26.5105785</v>
      </c>
      <c r="I15" s="8" t="n">
        <v>4</v>
      </c>
      <c r="J15" s="8" t="n">
        <v>119</v>
      </c>
      <c r="K15" s="5" t="s">
        <v>23</v>
      </c>
      <c r="L15" s="4" t="s">
        <v>47</v>
      </c>
      <c r="M15" s="7" t="n">
        <f aca="false">I15*H15+Ipoteze!$B$11+Ipoteze!$B$12+Ipoteze!$B$14+J15*(Ipoteze!$B$15+Ipoteze!$B$16)+Ipoteze!$B$17*(Ipoteze!$B$13+0.5*I15*H15)+Ipoteze!$B$18*(H15+Ipoteze!$B$13)+Ipoteze!$B$21</f>
        <v>124.213900775</v>
      </c>
      <c r="N15" s="7" t="n">
        <f aca="false">J15-M15</f>
        <v>-5.213900775</v>
      </c>
      <c r="O15" s="7" t="n">
        <f aca="false">N15+Ipoteze!$B$21-Ipoteze!$B$19</f>
        <v>-22.213900775</v>
      </c>
      <c r="P15" s="7" t="n">
        <f aca="false">O15-Ipoteze!$B$13</f>
        <v>-39.213900775</v>
      </c>
      <c r="Q15" s="9" t="n">
        <f aca="false">IFERROR(N15/J15,0)</f>
        <v>-0.0438142922268908</v>
      </c>
      <c r="R15" s="4" t="s">
        <v>48</v>
      </c>
    </row>
    <row r="16" customFormat="false" ht="15" hidden="false" customHeight="false" outlineLevel="0" collapsed="false">
      <c r="A16" s="4" t="n">
        <v>12</v>
      </c>
      <c r="B16" s="4"/>
      <c r="C16" s="4" t="s">
        <v>49</v>
      </c>
      <c r="D16" s="5" t="s">
        <v>21</v>
      </c>
      <c r="E16" s="4" t="s">
        <v>22</v>
      </c>
      <c r="F16" s="6" t="n">
        <v>0.99</v>
      </c>
      <c r="G16" s="6" t="n">
        <v>0.15</v>
      </c>
      <c r="H16" s="7" t="n">
        <f aca="false">(F16*Ipoteze!$B$4*(1+Ipoteze!$B$6)+G16*Ipoteze!$B$4+(Ipoteze!$B$7*Ipoteze!$B$5+Ipoteze!$B$8)/Ipoteze!$B$9)*(1+Ipoteze!$B$10)</f>
        <v>7.601288772</v>
      </c>
      <c r="I16" s="8" t="n">
        <v>2</v>
      </c>
      <c r="J16" s="8" t="n">
        <v>29</v>
      </c>
      <c r="K16" s="5" t="s">
        <v>23</v>
      </c>
      <c r="L16" s="4" t="s">
        <v>50</v>
      </c>
      <c r="M16" s="7" t="n">
        <f aca="false">I16*H16+Ipoteze!$B$11+Ipoteze!$B$12+Ipoteze!$B$14+J16*(Ipoteze!$B$15+Ipoteze!$B$16)+Ipoteze!$B$17*(Ipoteze!$B$13+0.5*I16*H16)+Ipoteze!$B$18*(H16+Ipoteze!$B$13)+Ipoteze!$B$21</f>
        <v>26.93169353348</v>
      </c>
      <c r="N16" s="7" t="n">
        <f aca="false">J16-M16</f>
        <v>2.06830646652</v>
      </c>
      <c r="O16" s="7" t="n">
        <f aca="false">N16+Ipoteze!$B$21-Ipoteze!$B$19</f>
        <v>-14.93169353348</v>
      </c>
      <c r="P16" s="7" t="n">
        <f aca="false">O16-Ipoteze!$B$13</f>
        <v>-31.93169353348</v>
      </c>
      <c r="Q16" s="9" t="n">
        <f aca="false">IFERROR(N16/J16,0)</f>
        <v>0.0713209126386207</v>
      </c>
      <c r="R16" s="4"/>
    </row>
    <row r="17" customFormat="false" ht="15" hidden="false" customHeight="false" outlineLevel="0" collapsed="false">
      <c r="A17" s="4" t="n">
        <v>13</v>
      </c>
      <c r="B17" s="4"/>
      <c r="C17" s="4" t="s">
        <v>51</v>
      </c>
      <c r="D17" s="5" t="s">
        <v>21</v>
      </c>
      <c r="E17" s="4" t="s">
        <v>26</v>
      </c>
      <c r="F17" s="6" t="n">
        <v>8</v>
      </c>
      <c r="G17" s="6" t="n">
        <v>1.5</v>
      </c>
      <c r="H17" s="7" t="n">
        <f aca="false">(F17*Ipoteze!$B$4*(1+Ipoteze!$B$6)+G17*Ipoteze!$B$4+(Ipoteze!$B$7*Ipoteze!$B$5+Ipoteze!$B$8)/Ipoteze!$B$9)*(1+Ipoteze!$B$10)</f>
        <v>56.7586425</v>
      </c>
      <c r="I17" s="8" t="n">
        <v>1</v>
      </c>
      <c r="J17" s="8" t="n">
        <v>79</v>
      </c>
      <c r="K17" s="5" t="s">
        <v>23</v>
      </c>
      <c r="L17" s="4" t="s">
        <v>52</v>
      </c>
      <c r="M17" s="7" t="n">
        <f aca="false">I17*H17+Ipoteze!$B$11+Ipoteze!$B$12+Ipoteze!$B$14+J17*(Ipoteze!$B$15+Ipoteze!$B$16)+Ipoteze!$B$17*(Ipoteze!$B$13+0.5*I17*H17)+Ipoteze!$B$18*(H17+Ipoteze!$B$13)+Ipoteze!$B$21</f>
        <v>72.95916105</v>
      </c>
      <c r="N17" s="7" t="n">
        <f aca="false">J17-M17</f>
        <v>6.04083895000001</v>
      </c>
      <c r="O17" s="7" t="n">
        <f aca="false">N17+Ipoteze!$B$21-Ipoteze!$B$19</f>
        <v>-10.95916105</v>
      </c>
      <c r="P17" s="7" t="n">
        <f aca="false">O17-Ipoteze!$B$13</f>
        <v>-27.95916105</v>
      </c>
      <c r="Q17" s="9" t="n">
        <f aca="false">IFERROR(N17/J17,0)</f>
        <v>0.0764663158227849</v>
      </c>
      <c r="R17" s="4"/>
    </row>
    <row r="18" customFormat="false" ht="15" hidden="false" customHeight="false" outlineLevel="0" collapsed="false">
      <c r="A18" s="4" t="n">
        <v>14</v>
      </c>
      <c r="B18" s="4"/>
      <c r="C18" s="4" t="s">
        <v>53</v>
      </c>
      <c r="D18" s="5" t="s">
        <v>21</v>
      </c>
      <c r="E18" s="4" t="s">
        <v>22</v>
      </c>
      <c r="F18" s="6" t="n">
        <v>3</v>
      </c>
      <c r="G18" s="6" t="n">
        <v>0.5</v>
      </c>
      <c r="H18" s="7" t="n">
        <f aca="false">(F18*Ipoteze!$B$4*(1+Ipoteze!$B$6)+G18*Ipoteze!$B$4+(Ipoteze!$B$7*Ipoteze!$B$5+Ipoteze!$B$8)/Ipoteze!$B$9)*(1+Ipoteze!$B$10)</f>
        <v>21.5108985</v>
      </c>
      <c r="I18" s="8" t="n">
        <v>1</v>
      </c>
      <c r="J18" s="8" t="n">
        <v>49</v>
      </c>
      <c r="K18" s="5" t="s">
        <v>23</v>
      </c>
      <c r="L18" s="4" t="s">
        <v>54</v>
      </c>
      <c r="M18" s="7" t="n">
        <f aca="false">I18*H18+Ipoteze!$B$11+Ipoteze!$B$12+Ipoteze!$B$14+J18*(Ipoteze!$B$15+Ipoteze!$B$16)+Ipoteze!$B$17*(Ipoteze!$B$13+0.5*I18*H18)+Ipoteze!$B$18*(H18+Ipoteze!$B$13)+Ipoteze!$B$21</f>
        <v>34.54655241</v>
      </c>
      <c r="N18" s="7" t="n">
        <f aca="false">J18-M18</f>
        <v>14.45344759</v>
      </c>
      <c r="O18" s="7" t="n">
        <f aca="false">N18+Ipoteze!$B$21-Ipoteze!$B$19</f>
        <v>-2.54655241</v>
      </c>
      <c r="P18" s="7" t="n">
        <f aca="false">O18-Ipoteze!$B$13</f>
        <v>-19.54655241</v>
      </c>
      <c r="Q18" s="9" t="n">
        <f aca="false">IFERROR(N18/J18,0)</f>
        <v>0.294968318163265</v>
      </c>
      <c r="R18" s="4"/>
    </row>
    <row r="19" customFormat="false" ht="15" hidden="false" customHeight="false" outlineLevel="0" collapsed="false">
      <c r="A19" s="4" t="n">
        <v>15</v>
      </c>
      <c r="B19" s="4"/>
      <c r="C19" s="4" t="s">
        <v>55</v>
      </c>
      <c r="D19" s="5" t="s">
        <v>21</v>
      </c>
      <c r="E19" s="4" t="s">
        <v>26</v>
      </c>
      <c r="F19" s="6" t="n">
        <v>1.5</v>
      </c>
      <c r="G19" s="6" t="n">
        <v>0.15</v>
      </c>
      <c r="H19" s="7" t="n">
        <f aca="false">(F19*Ipoteze!$B$4*(1+Ipoteze!$B$6)+G19*Ipoteze!$B$4+(Ipoteze!$B$7*Ipoteze!$B$5+Ipoteze!$B$8)/Ipoteze!$B$9)*(1+Ipoteze!$B$10)</f>
        <v>10.6865913</v>
      </c>
      <c r="I19" s="8" t="n">
        <v>2</v>
      </c>
      <c r="J19" s="8" t="n">
        <v>49</v>
      </c>
      <c r="K19" s="5" t="s">
        <v>23</v>
      </c>
      <c r="L19" s="4" t="s">
        <v>56</v>
      </c>
      <c r="M19" s="7" t="n">
        <f aca="false">I19*H19+Ipoteze!$B$11+Ipoteze!$B$12+Ipoteze!$B$14+J19*(Ipoteze!$B$15+Ipoteze!$B$16)+Ipoteze!$B$17*(Ipoteze!$B$13+0.5*I19*H19)+Ipoteze!$B$18*(H19+Ipoteze!$B$13)+Ipoteze!$B$21</f>
        <v>34.079975817</v>
      </c>
      <c r="N19" s="7" t="n">
        <f aca="false">J19-M19</f>
        <v>14.920024183</v>
      </c>
      <c r="O19" s="7" t="n">
        <f aca="false">N19+Ipoteze!$B$21-Ipoteze!$B$19</f>
        <v>-2.079975817</v>
      </c>
      <c r="P19" s="7" t="n">
        <f aca="false">O19-Ipoteze!$B$13</f>
        <v>-19.079975817</v>
      </c>
      <c r="Q19" s="9" t="n">
        <f aca="false">IFERROR(N19/J19,0)</f>
        <v>0.30449028944898</v>
      </c>
      <c r="R19" s="4"/>
    </row>
    <row r="20" customFormat="false" ht="15" hidden="false" customHeight="false" outlineLevel="0" collapsed="false">
      <c r="A20" s="4" t="n">
        <v>16</v>
      </c>
      <c r="B20" s="4"/>
      <c r="C20" s="4" t="s">
        <v>57</v>
      </c>
      <c r="D20" s="5" t="s">
        <v>21</v>
      </c>
      <c r="E20" s="4" t="s">
        <v>26</v>
      </c>
      <c r="F20" s="6" t="n">
        <v>1</v>
      </c>
      <c r="G20" s="6" t="n">
        <v>0.15</v>
      </c>
      <c r="H20" s="7" t="n">
        <f aca="false">(F20*Ipoteze!$B$4*(1+Ipoteze!$B$6)+G20*Ipoteze!$B$4+(Ipoteze!$B$7*Ipoteze!$B$5+Ipoteze!$B$8)/Ipoteze!$B$9)*(1+Ipoteze!$B$10)</f>
        <v>7.6617849</v>
      </c>
      <c r="I20" s="8" t="n">
        <v>1</v>
      </c>
      <c r="J20" s="8" t="n">
        <v>25</v>
      </c>
      <c r="K20" s="5" t="s">
        <v>23</v>
      </c>
      <c r="L20" s="4" t="s">
        <v>58</v>
      </c>
      <c r="M20" s="7" t="n">
        <f aca="false">I20*H20+Ipoteze!$B$11+Ipoteze!$B$12+Ipoteze!$B$14+J20*(Ipoteze!$B$15+Ipoteze!$B$16)+Ipoteze!$B$17*(Ipoteze!$B$13+0.5*I20*H20)+Ipoteze!$B$18*(H20+Ipoteze!$B$13)+Ipoteze!$B$21</f>
        <v>19.026491994</v>
      </c>
      <c r="N20" s="7" t="n">
        <f aca="false">J20-M20</f>
        <v>5.973508006</v>
      </c>
      <c r="O20" s="7" t="n">
        <f aca="false">N20+Ipoteze!$B$21-Ipoteze!$B$19</f>
        <v>-11.026491994</v>
      </c>
      <c r="P20" s="7" t="n">
        <f aca="false">O20-Ipoteze!$B$13</f>
        <v>-28.026491994</v>
      </c>
      <c r="Q20" s="9" t="n">
        <f aca="false">IFERROR(N20/J20,0)</f>
        <v>0.23894032024</v>
      </c>
      <c r="R20" s="4"/>
    </row>
    <row r="21" customFormat="false" ht="15" hidden="false" customHeight="false" outlineLevel="0" collapsed="false">
      <c r="A21" s="4" t="n">
        <v>17</v>
      </c>
      <c r="B21" s="4"/>
      <c r="C21" s="4" t="s">
        <v>59</v>
      </c>
      <c r="D21" s="5" t="s">
        <v>21</v>
      </c>
      <c r="E21" s="4" t="s">
        <v>22</v>
      </c>
      <c r="F21" s="6" t="n">
        <v>3</v>
      </c>
      <c r="G21" s="6" t="n">
        <v>0.5</v>
      </c>
      <c r="H21" s="7" t="n">
        <f aca="false">(F21*Ipoteze!$B$4*(1+Ipoteze!$B$6)+G21*Ipoteze!$B$4+(Ipoteze!$B$7*Ipoteze!$B$5+Ipoteze!$B$8)/Ipoteze!$B$9)*(1+Ipoteze!$B$10)</f>
        <v>21.5108985</v>
      </c>
      <c r="I21" s="8" t="n">
        <v>1</v>
      </c>
      <c r="J21" s="8" t="n">
        <v>49</v>
      </c>
      <c r="K21" s="5" t="s">
        <v>23</v>
      </c>
      <c r="L21" s="4" t="s">
        <v>60</v>
      </c>
      <c r="M21" s="7" t="n">
        <f aca="false">I21*H21+Ipoteze!$B$11+Ipoteze!$B$12+Ipoteze!$B$14+J21*(Ipoteze!$B$15+Ipoteze!$B$16)+Ipoteze!$B$17*(Ipoteze!$B$13+0.5*I21*H21)+Ipoteze!$B$18*(H21+Ipoteze!$B$13)+Ipoteze!$B$21</f>
        <v>34.54655241</v>
      </c>
      <c r="N21" s="7" t="n">
        <f aca="false">J21-M21</f>
        <v>14.45344759</v>
      </c>
      <c r="O21" s="7" t="n">
        <f aca="false">N21+Ipoteze!$B$21-Ipoteze!$B$19</f>
        <v>-2.54655241</v>
      </c>
      <c r="P21" s="7" t="n">
        <f aca="false">O21-Ipoteze!$B$13</f>
        <v>-19.54655241</v>
      </c>
      <c r="Q21" s="9" t="n">
        <f aca="false">IFERROR(N21/J21,0)</f>
        <v>0.294968318163265</v>
      </c>
      <c r="R21" s="4"/>
    </row>
    <row r="22" customFormat="false" ht="15" hidden="false" customHeight="false" outlineLevel="0" collapsed="false">
      <c r="A22" s="4" t="n">
        <v>18</v>
      </c>
      <c r="B22" s="4"/>
      <c r="C22" s="4" t="s">
        <v>61</v>
      </c>
      <c r="D22" s="5" t="s">
        <v>21</v>
      </c>
      <c r="E22" s="4" t="s">
        <v>22</v>
      </c>
      <c r="F22" s="6" t="n">
        <v>1.2</v>
      </c>
      <c r="G22" s="6" t="n">
        <v>0.15</v>
      </c>
      <c r="H22" s="7" t="n">
        <f aca="false">(F22*Ipoteze!$B$4*(1+Ipoteze!$B$6)+G22*Ipoteze!$B$4+(Ipoteze!$B$7*Ipoteze!$B$5+Ipoteze!$B$8)/Ipoteze!$B$9)*(1+Ipoteze!$B$10)</f>
        <v>8.87170746</v>
      </c>
      <c r="I22" s="8" t="n">
        <v>2</v>
      </c>
      <c r="J22" s="8" t="n">
        <v>29</v>
      </c>
      <c r="K22" s="5" t="s">
        <v>23</v>
      </c>
      <c r="L22" s="4" t="s">
        <v>62</v>
      </c>
      <c r="M22" s="7" t="n">
        <f aca="false">I22*H22+Ipoteze!$B$11+Ipoteze!$B$12+Ipoteze!$B$14+J22*(Ipoteze!$B$15+Ipoteze!$B$16)+Ipoteze!$B$17*(Ipoteze!$B$13+0.5*I22*H22)+Ipoteze!$B$18*(H22+Ipoteze!$B$13)+Ipoteze!$B$21</f>
        <v>29.5868685914</v>
      </c>
      <c r="N22" s="7" t="n">
        <f aca="false">J22-M22</f>
        <v>-0.586868591399995</v>
      </c>
      <c r="O22" s="7" t="n">
        <f aca="false">N22+Ipoteze!$B$21-Ipoteze!$B$19</f>
        <v>-17.5868685914</v>
      </c>
      <c r="P22" s="7" t="n">
        <f aca="false">O22-Ipoteze!$B$13</f>
        <v>-34.5868685914</v>
      </c>
      <c r="Q22" s="9" t="n">
        <f aca="false">IFERROR(N22/J22,0)</f>
        <v>-0.0202368479793102</v>
      </c>
      <c r="R22" s="4"/>
    </row>
    <row r="23" customFormat="false" ht="15" hidden="false" customHeight="false" outlineLevel="0" collapsed="false">
      <c r="A23" s="4" t="n">
        <v>19</v>
      </c>
      <c r="B23" s="4"/>
      <c r="C23" s="4" t="s">
        <v>63</v>
      </c>
      <c r="D23" s="5" t="s">
        <v>21</v>
      </c>
      <c r="E23" s="4" t="s">
        <v>22</v>
      </c>
      <c r="F23" s="6" t="n">
        <v>5</v>
      </c>
      <c r="G23" s="6" t="n">
        <v>0.5</v>
      </c>
      <c r="H23" s="7" t="n">
        <f aca="false">(F23*Ipoteze!$B$4*(1+Ipoteze!$B$6)+G23*Ipoteze!$B$4+(Ipoteze!$B$7*Ipoteze!$B$5+Ipoteze!$B$8)/Ipoteze!$B$9)*(1+Ipoteze!$B$10)</f>
        <v>33.6101241</v>
      </c>
      <c r="I23" s="8" t="n">
        <v>1</v>
      </c>
      <c r="J23" s="8" t="n">
        <v>69</v>
      </c>
      <c r="K23" s="5" t="s">
        <v>23</v>
      </c>
      <c r="L23" s="4" t="s">
        <v>64</v>
      </c>
      <c r="M23" s="7" t="n">
        <f aca="false">I23*H23+Ipoteze!$B$11+Ipoteze!$B$12+Ipoteze!$B$14+J23*(Ipoteze!$B$15+Ipoteze!$B$16)+Ipoteze!$B$17*(Ipoteze!$B$13+0.5*I23*H23)+Ipoteze!$B$18*(H23+Ipoteze!$B$13)+Ipoteze!$B$21</f>
        <v>48.071731546</v>
      </c>
      <c r="N23" s="7" t="n">
        <f aca="false">J23-M23</f>
        <v>20.928268454</v>
      </c>
      <c r="O23" s="7" t="n">
        <f aca="false">N23+Ipoteze!$B$21-Ipoteze!$B$19</f>
        <v>3.928268454</v>
      </c>
      <c r="P23" s="7" t="n">
        <f aca="false">O23-Ipoteze!$B$13</f>
        <v>-13.071731546</v>
      </c>
      <c r="Q23" s="9" t="n">
        <f aca="false">IFERROR(N23/J23,0)</f>
        <v>0.303308238463768</v>
      </c>
      <c r="R23" s="4" t="s">
        <v>65</v>
      </c>
    </row>
    <row r="24" customFormat="false" ht="15" hidden="false" customHeight="false" outlineLevel="0" collapsed="false">
      <c r="A24" s="4" t="n">
        <v>20</v>
      </c>
      <c r="B24" s="4"/>
      <c r="C24" s="4" t="s">
        <v>66</v>
      </c>
      <c r="D24" s="5" t="s">
        <v>21</v>
      </c>
      <c r="E24" s="4" t="s">
        <v>22</v>
      </c>
      <c r="F24" s="6" t="n">
        <v>2</v>
      </c>
      <c r="G24" s="6" t="n">
        <v>0.5</v>
      </c>
      <c r="H24" s="7" t="n">
        <f aca="false">(F24*Ipoteze!$B$4*(1+Ipoteze!$B$6)+G24*Ipoteze!$B$4+(Ipoteze!$B$7*Ipoteze!$B$5+Ipoteze!$B$8)/Ipoteze!$B$9)*(1+Ipoteze!$B$10)</f>
        <v>15.4612857</v>
      </c>
      <c r="I24" s="8" t="n">
        <v>1</v>
      </c>
      <c r="J24" s="8" t="n">
        <v>49</v>
      </c>
      <c r="K24" s="5" t="s">
        <v>23</v>
      </c>
      <c r="L24" s="4" t="s">
        <v>67</v>
      </c>
      <c r="M24" s="7" t="n">
        <f aca="false">I24*H24+Ipoteze!$B$11+Ipoteze!$B$12+Ipoteze!$B$14+J24*(Ipoteze!$B$15+Ipoteze!$B$16)+Ipoteze!$B$17*(Ipoteze!$B$13+0.5*I24*H24)+Ipoteze!$B$18*(H24+Ipoteze!$B$13)+Ipoteze!$B$21</f>
        <v>28.133962842</v>
      </c>
      <c r="N24" s="7" t="n">
        <f aca="false">J24-M24</f>
        <v>20.866037158</v>
      </c>
      <c r="O24" s="7" t="n">
        <f aca="false">N24+Ipoteze!$B$21-Ipoteze!$B$19</f>
        <v>3.866037158</v>
      </c>
      <c r="P24" s="7" t="n">
        <f aca="false">O24-Ipoteze!$B$13</f>
        <v>-13.133962842</v>
      </c>
      <c r="Q24" s="9" t="n">
        <f aca="false">IFERROR(N24/J24,0)</f>
        <v>0.425837493020408</v>
      </c>
      <c r="R24" s="4" t="s">
        <v>68</v>
      </c>
    </row>
    <row r="25" customFormat="false" ht="15" hidden="false" customHeight="false" outlineLevel="0" collapsed="false">
      <c r="A25" s="10" t="n">
        <v>21</v>
      </c>
      <c r="B25" s="11" t="s">
        <v>69</v>
      </c>
      <c r="C25" s="10" t="s">
        <v>70</v>
      </c>
      <c r="D25" s="5" t="s">
        <v>21</v>
      </c>
      <c r="E25" s="4" t="s">
        <v>26</v>
      </c>
      <c r="F25" s="6" t="n">
        <v>1.8</v>
      </c>
      <c r="G25" s="6" t="n">
        <v>0.5</v>
      </c>
      <c r="H25" s="7" t="n">
        <f aca="false">(F25*Ipoteze!$B$4*(1+Ipoteze!$B$6)+G25*Ipoteze!$B$4+(Ipoteze!$B$7*Ipoteze!$B$5+Ipoteze!$B$8)/Ipoteze!$B$9)*(1+Ipoteze!$B$10)</f>
        <v>14.25136314</v>
      </c>
      <c r="I25" s="8" t="n">
        <v>2</v>
      </c>
      <c r="J25" s="8" t="n">
        <v>69</v>
      </c>
      <c r="K25" s="5" t="s">
        <v>23</v>
      </c>
      <c r="L25" s="4" t="s">
        <v>71</v>
      </c>
      <c r="M25" s="7" t="n">
        <f aca="false">I25*H25+Ipoteze!$B$11+Ipoteze!$B$12+Ipoteze!$B$14+J25*(Ipoteze!$B$15+Ipoteze!$B$16)+Ipoteze!$B$17*(Ipoteze!$B$13+0.5*I25*H25)+Ipoteze!$B$18*(H25+Ipoteze!$B$13)+Ipoteze!$B$21</f>
        <v>42.2303489626</v>
      </c>
      <c r="N25" s="7" t="n">
        <f aca="false">J25-M25</f>
        <v>26.7696510374</v>
      </c>
      <c r="O25" s="7" t="n">
        <f aca="false">N25+Ipoteze!$B$21-Ipoteze!$B$19</f>
        <v>9.76965103740001</v>
      </c>
      <c r="P25" s="7" t="n">
        <f aca="false">O25-Ipoteze!$B$13</f>
        <v>-7.23034896259999</v>
      </c>
      <c r="Q25" s="9" t="n">
        <f aca="false">IFERROR(N25/J25,0)</f>
        <v>0.387965957063768</v>
      </c>
      <c r="R25" s="4"/>
    </row>
    <row r="26" customFormat="false" ht="15" hidden="false" customHeight="false" outlineLevel="0" collapsed="false">
      <c r="A26" s="4" t="n">
        <v>22</v>
      </c>
      <c r="B26" s="4"/>
      <c r="C26" s="4" t="s">
        <v>72</v>
      </c>
      <c r="D26" s="5" t="s">
        <v>21</v>
      </c>
      <c r="E26" s="4" t="s">
        <v>26</v>
      </c>
      <c r="F26" s="6" t="n">
        <v>3.5</v>
      </c>
      <c r="G26" s="6" t="n">
        <v>1.5</v>
      </c>
      <c r="H26" s="7" t="n">
        <f aca="false">(F26*Ipoteze!$B$4*(1+Ipoteze!$B$6)+G26*Ipoteze!$B$4+(Ipoteze!$B$7*Ipoteze!$B$5+Ipoteze!$B$8)/Ipoteze!$B$9)*(1+Ipoteze!$B$10)</f>
        <v>29.5353849</v>
      </c>
      <c r="I26" s="8" t="n">
        <v>1</v>
      </c>
      <c r="J26" s="8" t="n">
        <v>59</v>
      </c>
      <c r="K26" s="5" t="s">
        <v>23</v>
      </c>
      <c r="L26" s="4" t="s">
        <v>73</v>
      </c>
      <c r="M26" s="7" t="n">
        <f aca="false">I26*H26+Ipoteze!$B$11+Ipoteze!$B$12+Ipoteze!$B$14+J26*(Ipoteze!$B$15+Ipoteze!$B$16)+Ipoteze!$B$17*(Ipoteze!$B$13+0.5*I26*H26)+Ipoteze!$B$18*(H26+Ipoteze!$B$13)+Ipoteze!$B$21</f>
        <v>43.402507994</v>
      </c>
      <c r="N26" s="7" t="n">
        <f aca="false">J26-M26</f>
        <v>15.597492006</v>
      </c>
      <c r="O26" s="7" t="n">
        <f aca="false">N26+Ipoteze!$B$21-Ipoteze!$B$19</f>
        <v>-1.402507994</v>
      </c>
      <c r="P26" s="7" t="n">
        <f aca="false">O26-Ipoteze!$B$13</f>
        <v>-18.402507994</v>
      </c>
      <c r="Q26" s="9" t="n">
        <f aca="false">IFERROR(N26/J26,0)</f>
        <v>0.264364271288136</v>
      </c>
      <c r="R26" s="4" t="s">
        <v>74</v>
      </c>
    </row>
    <row r="27" customFormat="false" ht="15" hidden="false" customHeight="false" outlineLevel="0" collapsed="false">
      <c r="A27" s="4" t="n">
        <v>23</v>
      </c>
      <c r="B27" s="4"/>
      <c r="C27" s="4" t="s">
        <v>75</v>
      </c>
      <c r="D27" s="5" t="s">
        <v>21</v>
      </c>
      <c r="E27" s="4" t="s">
        <v>22</v>
      </c>
      <c r="F27" s="6" t="n">
        <v>1.5</v>
      </c>
      <c r="G27" s="6" t="n">
        <v>0.15</v>
      </c>
      <c r="H27" s="7" t="n">
        <f aca="false">(F27*Ipoteze!$B$4*(1+Ipoteze!$B$6)+G27*Ipoteze!$B$4+(Ipoteze!$B$7*Ipoteze!$B$5+Ipoteze!$B$8)/Ipoteze!$B$9)*(1+Ipoteze!$B$10)</f>
        <v>10.6865913</v>
      </c>
      <c r="I27" s="8" t="n">
        <v>2</v>
      </c>
      <c r="J27" s="8" t="n">
        <v>45</v>
      </c>
      <c r="K27" s="5" t="s">
        <v>23</v>
      </c>
      <c r="L27" s="4" t="s">
        <v>76</v>
      </c>
      <c r="M27" s="7" t="n">
        <f aca="false">I27*H27+Ipoteze!$B$11+Ipoteze!$B$12+Ipoteze!$B$14+J27*(Ipoteze!$B$15+Ipoteze!$B$16)+Ipoteze!$B$17*(Ipoteze!$B$13+0.5*I27*H27)+Ipoteze!$B$18*(H27+Ipoteze!$B$13)+Ipoteze!$B$21</f>
        <v>33.939975817</v>
      </c>
      <c r="N27" s="7" t="n">
        <f aca="false">J27-M27</f>
        <v>11.060024183</v>
      </c>
      <c r="O27" s="7" t="n">
        <f aca="false">N27+Ipoteze!$B$21-Ipoteze!$B$19</f>
        <v>-5.939975817</v>
      </c>
      <c r="P27" s="7" t="n">
        <f aca="false">O27-Ipoteze!$B$13</f>
        <v>-22.939975817</v>
      </c>
      <c r="Q27" s="9" t="n">
        <f aca="false">IFERROR(N27/J27,0)</f>
        <v>0.245778315177778</v>
      </c>
      <c r="R27" s="4"/>
    </row>
    <row r="28" customFormat="false" ht="15" hidden="false" customHeight="false" outlineLevel="0" collapsed="false">
      <c r="A28" s="4" t="n">
        <v>24</v>
      </c>
      <c r="B28" s="4"/>
      <c r="C28" s="4" t="s">
        <v>77</v>
      </c>
      <c r="D28" s="5" t="s">
        <v>21</v>
      </c>
      <c r="E28" s="4" t="s">
        <v>22</v>
      </c>
      <c r="F28" s="6" t="n">
        <v>0.4</v>
      </c>
      <c r="G28" s="6" t="n">
        <v>0.15</v>
      </c>
      <c r="H28" s="7" t="n">
        <f aca="false">(F28*Ipoteze!$B$4*(1+Ipoteze!$B$6)+G28*Ipoteze!$B$4+(Ipoteze!$B$7*Ipoteze!$B$5+Ipoteze!$B$8)/Ipoteze!$B$9)*(1+Ipoteze!$B$10)</f>
        <v>4.03201722</v>
      </c>
      <c r="I28" s="8" t="n">
        <v>6</v>
      </c>
      <c r="J28" s="8" t="n">
        <v>25</v>
      </c>
      <c r="K28" s="5" t="s">
        <v>23</v>
      </c>
      <c r="L28" s="4" t="s">
        <v>78</v>
      </c>
      <c r="M28" s="7" t="n">
        <f aca="false">I28*H28+Ipoteze!$B$11+Ipoteze!$B$12+Ipoteze!$B$14+J28*(Ipoteze!$B$15+Ipoteze!$B$16)+Ipoteze!$B$17*(Ipoteze!$B$13+0.5*I28*H28)+Ipoteze!$B$18*(H28+Ipoteze!$B$13)+Ipoteze!$B$21</f>
        <v>35.9438269362</v>
      </c>
      <c r="N28" s="7" t="n">
        <f aca="false">J28-M28</f>
        <v>-10.9438269362</v>
      </c>
      <c r="O28" s="7" t="n">
        <f aca="false">N28+Ipoteze!$B$21-Ipoteze!$B$19</f>
        <v>-27.9438269362</v>
      </c>
      <c r="P28" s="7" t="n">
        <f aca="false">O28-Ipoteze!$B$13</f>
        <v>-44.9438269362</v>
      </c>
      <c r="Q28" s="9" t="n">
        <f aca="false">IFERROR(N28/J28,0)</f>
        <v>-0.437753077448</v>
      </c>
      <c r="R28" s="4" t="s">
        <v>79</v>
      </c>
    </row>
    <row r="29" customFormat="false" ht="15" hidden="false" customHeight="false" outlineLevel="0" collapsed="false">
      <c r="A29" s="10" t="n">
        <v>25</v>
      </c>
      <c r="B29" s="11" t="s">
        <v>80</v>
      </c>
      <c r="C29" s="10" t="s">
        <v>81</v>
      </c>
      <c r="D29" s="5" t="s">
        <v>21</v>
      </c>
      <c r="E29" s="4" t="s">
        <v>22</v>
      </c>
      <c r="F29" s="6" t="n">
        <v>5.5</v>
      </c>
      <c r="G29" s="6" t="n">
        <v>0.5</v>
      </c>
      <c r="H29" s="7" t="n">
        <f aca="false">(F29*Ipoteze!$B$4*(1+Ipoteze!$B$6)+G29*Ipoteze!$B$4+(Ipoteze!$B$7*Ipoteze!$B$5+Ipoteze!$B$8)/Ipoteze!$B$9)*(1+Ipoteze!$B$10)</f>
        <v>36.6349305</v>
      </c>
      <c r="I29" s="8" t="n">
        <v>1</v>
      </c>
      <c r="J29" s="8" t="n">
        <v>99</v>
      </c>
      <c r="K29" s="5" t="s">
        <v>23</v>
      </c>
      <c r="L29" s="4" t="s">
        <v>82</v>
      </c>
      <c r="M29" s="7" t="n">
        <f aca="false">I29*H29+Ipoteze!$B$11+Ipoteze!$B$12+Ipoteze!$B$14+J29*(Ipoteze!$B$15+Ipoteze!$B$16)+Ipoteze!$B$17*(Ipoteze!$B$13+0.5*I29*H29)+Ipoteze!$B$18*(H29+Ipoteze!$B$13)+Ipoteze!$B$21</f>
        <v>52.32802633</v>
      </c>
      <c r="N29" s="7" t="n">
        <f aca="false">J29-M29</f>
        <v>46.67197367</v>
      </c>
      <c r="O29" s="7" t="n">
        <f aca="false">N29+Ipoteze!$B$21-Ipoteze!$B$19</f>
        <v>29.67197367</v>
      </c>
      <c r="P29" s="7" t="n">
        <f aca="false">O29-Ipoteze!$B$13</f>
        <v>12.67197367</v>
      </c>
      <c r="Q29" s="9" t="n">
        <f aca="false">IFERROR(N29/J29,0)</f>
        <v>0.471434077474747</v>
      </c>
      <c r="R29" s="4" t="s">
        <v>83</v>
      </c>
    </row>
    <row r="30" customFormat="false" ht="15" hidden="false" customHeight="false" outlineLevel="0" collapsed="false">
      <c r="A30" s="4" t="n">
        <v>26</v>
      </c>
      <c r="B30" s="4"/>
      <c r="C30" s="4" t="s">
        <v>84</v>
      </c>
      <c r="D30" s="5" t="s">
        <v>21</v>
      </c>
      <c r="E30" s="4" t="s">
        <v>22</v>
      </c>
      <c r="F30" s="6" t="n">
        <v>3.74</v>
      </c>
      <c r="G30" s="6" t="n">
        <v>0.15</v>
      </c>
      <c r="H30" s="7" t="n">
        <f aca="false">(F30*Ipoteze!$B$4*(1+Ipoteze!$B$6)+G30*Ipoteze!$B$4+(Ipoteze!$B$7*Ipoteze!$B$5+Ipoteze!$B$8)/Ipoteze!$B$9)*(1+Ipoteze!$B$10)</f>
        <v>24.237723972</v>
      </c>
      <c r="I30" s="8" t="n">
        <v>1</v>
      </c>
      <c r="J30" s="8" t="n">
        <v>45</v>
      </c>
      <c r="K30" s="4" t="s">
        <v>85</v>
      </c>
      <c r="L30" s="4" t="s">
        <v>86</v>
      </c>
      <c r="M30" s="7" t="n">
        <f aca="false">I30*H30+Ipoteze!$B$11+Ipoteze!$B$12+Ipoteze!$B$14+J30*(Ipoteze!$B$15+Ipoteze!$B$16)+Ipoteze!$B$17*(Ipoteze!$B$13+0.5*I30*H30)+Ipoteze!$B$18*(H30+Ipoteze!$B$13)+Ipoteze!$B$21</f>
        <v>37.29698741032</v>
      </c>
      <c r="N30" s="7" t="n">
        <f aca="false">J30-M30</f>
        <v>7.70301258968</v>
      </c>
      <c r="O30" s="7" t="n">
        <f aca="false">N30+Ipoteze!$B$21-Ipoteze!$B$19</f>
        <v>-9.29698741032</v>
      </c>
      <c r="P30" s="7" t="n">
        <f aca="false">O30-Ipoteze!$B$13</f>
        <v>-26.29698741032</v>
      </c>
      <c r="Q30" s="9" t="n">
        <f aca="false">IFERROR(N30/J30,0)</f>
        <v>0.171178057548444</v>
      </c>
      <c r="R30" s="4"/>
    </row>
    <row r="31" customFormat="false" ht="15" hidden="false" customHeight="false" outlineLevel="0" collapsed="false">
      <c r="A31" s="4" t="n">
        <v>27</v>
      </c>
      <c r="B31" s="4"/>
      <c r="C31" s="4" t="s">
        <v>87</v>
      </c>
      <c r="D31" s="5" t="s">
        <v>21</v>
      </c>
      <c r="E31" s="4" t="s">
        <v>22</v>
      </c>
      <c r="F31" s="6" t="n">
        <v>2.87</v>
      </c>
      <c r="G31" s="6" t="n">
        <v>0.5</v>
      </c>
      <c r="H31" s="7" t="n">
        <f aca="false">(F31*Ipoteze!$B$4*(1+Ipoteze!$B$6)+G31*Ipoteze!$B$4+(Ipoteze!$B$7*Ipoteze!$B$5+Ipoteze!$B$8)/Ipoteze!$B$9)*(1+Ipoteze!$B$10)</f>
        <v>20.724448836</v>
      </c>
      <c r="I31" s="8" t="n">
        <v>2</v>
      </c>
      <c r="J31" s="8" t="n">
        <v>59</v>
      </c>
      <c r="K31" s="5" t="s">
        <v>23</v>
      </c>
      <c r="L31" s="4" t="s">
        <v>88</v>
      </c>
      <c r="M31" s="7" t="n">
        <f aca="false">I31*H31+Ipoteze!$B$11+Ipoteze!$B$12+Ipoteze!$B$14+J31*(Ipoteze!$B$15+Ipoteze!$B$16)+Ipoteze!$B$17*(Ipoteze!$B$13+0.5*I31*H31)+Ipoteze!$B$18*(H31+Ipoteze!$B$13)+Ipoteze!$B$21</f>
        <v>55.40909806724</v>
      </c>
      <c r="N31" s="7" t="n">
        <f aca="false">J31-M31</f>
        <v>3.59090193276001</v>
      </c>
      <c r="O31" s="7" t="n">
        <f aca="false">N31+Ipoteze!$B$21-Ipoteze!$B$19</f>
        <v>-13.40909806724</v>
      </c>
      <c r="P31" s="7" t="n">
        <f aca="false">O31-Ipoteze!$B$13</f>
        <v>-30.40909806724</v>
      </c>
      <c r="Q31" s="9" t="n">
        <f aca="false">IFERROR(N31/J31,0)</f>
        <v>0.0608627446230509</v>
      </c>
      <c r="R31" s="4"/>
    </row>
    <row r="32" customFormat="false" ht="15" hidden="false" customHeight="false" outlineLevel="0" collapsed="false">
      <c r="A32" s="4" t="n">
        <v>28</v>
      </c>
      <c r="B32" s="4"/>
      <c r="C32" s="4" t="s">
        <v>89</v>
      </c>
      <c r="D32" s="5" t="s">
        <v>21</v>
      </c>
      <c r="E32" s="4" t="s">
        <v>22</v>
      </c>
      <c r="F32" s="6" t="n">
        <v>1</v>
      </c>
      <c r="G32" s="6" t="n">
        <v>0.5</v>
      </c>
      <c r="H32" s="7" t="n">
        <f aca="false">(F32*Ipoteze!$B$4*(1+Ipoteze!$B$6)+G32*Ipoteze!$B$4+(Ipoteze!$B$7*Ipoteze!$B$5+Ipoteze!$B$8)/Ipoteze!$B$9)*(1+Ipoteze!$B$10)</f>
        <v>9.4116729</v>
      </c>
      <c r="I32" s="8" t="n">
        <v>4</v>
      </c>
      <c r="J32" s="8" t="n">
        <v>69</v>
      </c>
      <c r="K32" s="5" t="s">
        <v>23</v>
      </c>
      <c r="L32" s="4" t="s">
        <v>90</v>
      </c>
      <c r="M32" s="7" t="n">
        <f aca="false">I32*H32+Ipoteze!$B$11+Ipoteze!$B$12+Ipoteze!$B$14+J32*(Ipoteze!$B$15+Ipoteze!$B$16)+Ipoteze!$B$17*(Ipoteze!$B$13+0.5*I32*H32)+Ipoteze!$B$18*(H32+Ipoteze!$B$13)+Ipoteze!$B$21</f>
        <v>51.503442535</v>
      </c>
      <c r="N32" s="7" t="n">
        <f aca="false">J32-M32</f>
        <v>17.496557465</v>
      </c>
      <c r="O32" s="7" t="n">
        <f aca="false">N32+Ipoteze!$B$21-Ipoteze!$B$19</f>
        <v>0.496557465000009</v>
      </c>
      <c r="P32" s="7" t="n">
        <f aca="false">O32-Ipoteze!$B$13</f>
        <v>-16.503442535</v>
      </c>
      <c r="Q32" s="9" t="n">
        <f aca="false">IFERROR(N32/J32,0)</f>
        <v>0.253573296594203</v>
      </c>
      <c r="R32" s="4" t="s">
        <v>91</v>
      </c>
    </row>
    <row r="33" customFormat="false" ht="15" hidden="false" customHeight="false" outlineLevel="0" collapsed="false">
      <c r="A33" s="4" t="n">
        <v>29</v>
      </c>
      <c r="B33" s="4"/>
      <c r="C33" s="4" t="s">
        <v>92</v>
      </c>
      <c r="D33" s="5" t="s">
        <v>21</v>
      </c>
      <c r="E33" s="4" t="s">
        <v>93</v>
      </c>
      <c r="F33" s="6" t="n">
        <v>0.8</v>
      </c>
      <c r="G33" s="6" t="n">
        <v>0.15</v>
      </c>
      <c r="H33" s="7" t="n">
        <f aca="false">(F33*Ipoteze!$B$4*(1+Ipoteze!$B$6)+G33*Ipoteze!$B$4+(Ipoteze!$B$7*Ipoteze!$B$5+Ipoteze!$B$8)/Ipoteze!$B$9)*(1+Ipoteze!$B$10)</f>
        <v>6.45186234</v>
      </c>
      <c r="I33" s="8" t="n">
        <v>3</v>
      </c>
      <c r="J33" s="8" t="n">
        <v>45</v>
      </c>
      <c r="K33" s="5" t="s">
        <v>23</v>
      </c>
      <c r="L33" s="4" t="s">
        <v>94</v>
      </c>
      <c r="M33" s="7" t="n">
        <f aca="false">I33*H33+Ipoteze!$B$11+Ipoteze!$B$12+Ipoteze!$B$14+J33*(Ipoteze!$B$15+Ipoteze!$B$16)+Ipoteze!$B$17*(Ipoteze!$B$13+0.5*I33*H33)+Ipoteze!$B$18*(H33+Ipoteze!$B$13)+Ipoteze!$B$21</f>
        <v>31.7348105008</v>
      </c>
      <c r="N33" s="7" t="n">
        <f aca="false">J33-M33</f>
        <v>13.2651894992</v>
      </c>
      <c r="O33" s="7" t="n">
        <f aca="false">N33+Ipoteze!$B$21-Ipoteze!$B$19</f>
        <v>-3.7348105008</v>
      </c>
      <c r="P33" s="7" t="n">
        <f aca="false">O33-Ipoteze!$B$13</f>
        <v>-20.7348105008</v>
      </c>
      <c r="Q33" s="9" t="n">
        <f aca="false">IFERROR(N33/J33,0)</f>
        <v>0.294781988871111</v>
      </c>
      <c r="R33" s="4"/>
    </row>
    <row r="34" customFormat="false" ht="15" hidden="false" customHeight="false" outlineLevel="0" collapsed="false">
      <c r="A34" s="4" t="n">
        <v>30</v>
      </c>
      <c r="B34" s="4"/>
      <c r="C34" s="4" t="s">
        <v>95</v>
      </c>
      <c r="D34" s="5" t="s">
        <v>21</v>
      </c>
      <c r="E34" s="4" t="s">
        <v>26</v>
      </c>
      <c r="F34" s="6" t="n">
        <v>1.5</v>
      </c>
      <c r="G34" s="6" t="n">
        <v>0.5</v>
      </c>
      <c r="H34" s="7" t="n">
        <f aca="false">(F34*Ipoteze!$B$4*(1+Ipoteze!$B$6)+G34*Ipoteze!$B$4+(Ipoteze!$B$7*Ipoteze!$B$5+Ipoteze!$B$8)/Ipoteze!$B$9)*(1+Ipoteze!$B$10)</f>
        <v>12.4364793</v>
      </c>
      <c r="I34" s="8" t="n">
        <v>2</v>
      </c>
      <c r="J34" s="8" t="n">
        <v>49</v>
      </c>
      <c r="K34" s="5" t="s">
        <v>23</v>
      </c>
      <c r="L34" s="4" t="s">
        <v>96</v>
      </c>
      <c r="M34" s="7" t="n">
        <f aca="false">I34*H34+Ipoteze!$B$11+Ipoteze!$B$12+Ipoteze!$B$14+J34*(Ipoteze!$B$15+Ipoteze!$B$16)+Ipoteze!$B$17*(Ipoteze!$B$13+0.5*I34*H34)+Ipoteze!$B$18*(H34+Ipoteze!$B$13)+Ipoteze!$B$21</f>
        <v>37.737241737</v>
      </c>
      <c r="N34" s="7" t="n">
        <f aca="false">J34-M34</f>
        <v>11.262758263</v>
      </c>
      <c r="O34" s="7" t="n">
        <f aca="false">N34+Ipoteze!$B$21-Ipoteze!$B$19</f>
        <v>-5.737241737</v>
      </c>
      <c r="P34" s="7" t="n">
        <f aca="false">O34-Ipoteze!$B$13</f>
        <v>-22.737241737</v>
      </c>
      <c r="Q34" s="9" t="n">
        <f aca="false">IFERROR(N34/J34,0)</f>
        <v>0.22985220944898</v>
      </c>
      <c r="R34" s="4"/>
    </row>
    <row r="36" customFormat="false" ht="15" hidden="false" customHeight="false" outlineLevel="0" collapsed="false">
      <c r="A36" s="12" t="s">
        <v>97</v>
      </c>
    </row>
  </sheetData>
  <autoFilter ref="A4:R34"/>
  <mergeCells count="1">
    <mergeCell ref="A2:R2"/>
  </mergeCells>
  <conditionalFormatting sqref="N5:N34">
    <cfRule type="cellIs" priority="2" operator="greaterThan" aboveAverage="0" equalAverage="0" bottom="0" percent="0" rank="0" text="" dxfId="8">
      <formula>0</formula>
    </cfRule>
    <cfRule type="cellIs" priority="3" operator="lessThanOrEqual" aboveAverage="0" equalAverage="0" bottom="0" percent="0" rank="0" text="" dxfId="9">
      <formula>0</formula>
    </cfRule>
  </conditionalFormatting>
  <conditionalFormatting sqref="O5:O34">
    <cfRule type="cellIs" priority="4" operator="greaterThan" aboveAverage="0" equalAverage="0" bottom="0" percent="0" rank="0" text="" dxfId="8">
      <formula>0</formula>
    </cfRule>
    <cfRule type="cellIs" priority="5" operator="lessThanOrEqual" aboveAverage="0" equalAverage="0" bottom="0" percent="0" rank="0" text="" dxfId="9">
      <formula>0</formula>
    </cfRule>
  </conditionalFormatting>
  <conditionalFormatting sqref="P5:P34">
    <cfRule type="cellIs" priority="6" operator="greaterThan" aboveAverage="0" equalAverage="0" bottom="0" percent="0" rank="0" text="" dxfId="8">
      <formula>0</formula>
    </cfRule>
    <cfRule type="cellIs" priority="7" operator="lessThanOrEqual" aboveAverage="0" equalAverage="0" bottom="0" percent="0" rank="0" text="" dxfId="9">
      <formula>0</formula>
    </cfRule>
  </conditionalFormatting>
  <hyperlinks>
    <hyperlink ref="D5" r:id="rId1" display="Deschide"/>
    <hyperlink ref="K5" r:id="rId2" display="Vezi"/>
    <hyperlink ref="D6" r:id="rId3" display="Deschide"/>
    <hyperlink ref="K6" r:id="rId4" display="Vezi"/>
    <hyperlink ref="D7" r:id="rId5" display="Deschide"/>
    <hyperlink ref="K7" r:id="rId6" display="Vezi"/>
    <hyperlink ref="D8" r:id="rId7" display="Deschide"/>
    <hyperlink ref="K8" r:id="rId8" display="Vezi"/>
    <hyperlink ref="D9" r:id="rId9" display="Deschide"/>
    <hyperlink ref="K9" r:id="rId10" display="Vezi"/>
    <hyperlink ref="D10" r:id="rId11" display="Deschide"/>
    <hyperlink ref="K10" r:id="rId12" display="Vezi"/>
    <hyperlink ref="D11" r:id="rId13" display="Deschide"/>
    <hyperlink ref="K11" r:id="rId14" display="Vezi"/>
    <hyperlink ref="D12" r:id="rId15" display="Deschide"/>
    <hyperlink ref="K12" r:id="rId16" display="Vezi"/>
    <hyperlink ref="D13" r:id="rId17" display="Deschide"/>
    <hyperlink ref="K13" r:id="rId18" display="Vezi"/>
    <hyperlink ref="D14" r:id="rId19" display="Deschide"/>
    <hyperlink ref="K14" r:id="rId20" display="Vezi"/>
    <hyperlink ref="D15" r:id="rId21" display="Deschide"/>
    <hyperlink ref="K15" r:id="rId22" display="Vezi"/>
    <hyperlink ref="D16" r:id="rId23" display="Deschide"/>
    <hyperlink ref="K16" r:id="rId24" display="Vezi"/>
    <hyperlink ref="D17" r:id="rId25" display="Deschide"/>
    <hyperlink ref="K17" r:id="rId26" display="Vezi"/>
    <hyperlink ref="D18" r:id="rId27" display="Deschide"/>
    <hyperlink ref="K18" r:id="rId28" display="Vezi"/>
    <hyperlink ref="D19" r:id="rId29" display="Deschide"/>
    <hyperlink ref="K19" r:id="rId30" display="Vezi"/>
    <hyperlink ref="D20" r:id="rId31" display="Deschide"/>
    <hyperlink ref="K20" r:id="rId32" display="Vezi"/>
    <hyperlink ref="D21" r:id="rId33" display="Deschide"/>
    <hyperlink ref="K21" r:id="rId34" display="Vezi"/>
    <hyperlink ref="D22" r:id="rId35" display="Deschide"/>
    <hyperlink ref="K22" r:id="rId36" display="Vezi"/>
    <hyperlink ref="D23" r:id="rId37" display="Deschide"/>
    <hyperlink ref="K23" r:id="rId38" display="Vezi"/>
    <hyperlink ref="D24" r:id="rId39" display="Deschide"/>
    <hyperlink ref="K24" r:id="rId40" display="Vezi"/>
    <hyperlink ref="D25" r:id="rId41" display="Deschide"/>
    <hyperlink ref="K25" r:id="rId42" display="Vezi"/>
    <hyperlink ref="D26" r:id="rId43" display="Deschide"/>
    <hyperlink ref="K26" r:id="rId44" display="Vezi"/>
    <hyperlink ref="D27" r:id="rId45" display="Deschide"/>
    <hyperlink ref="K27" r:id="rId46" display="Vezi"/>
    <hyperlink ref="D28" r:id="rId47" display="Deschide"/>
    <hyperlink ref="K28" r:id="rId48" display="Vezi"/>
    <hyperlink ref="D29" r:id="rId49" display="Deschide"/>
    <hyperlink ref="K29" r:id="rId50" display="Vezi"/>
    <hyperlink ref="D30" r:id="rId51" display="Deschide"/>
    <hyperlink ref="D31" r:id="rId52" display="Deschide"/>
    <hyperlink ref="K31" r:id="rId53" display="Vezi"/>
    <hyperlink ref="D32" r:id="rId54" display="Deschide"/>
    <hyperlink ref="K32" r:id="rId55" display="Vezi"/>
    <hyperlink ref="D33" r:id="rId56" display="Deschide"/>
    <hyperlink ref="K33" r:id="rId57" display="Vezi"/>
    <hyperlink ref="D34" r:id="rId58" display="Deschide"/>
    <hyperlink ref="K34" r:id="rId59" display="Vezi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6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12"/>
    <col collapsed="false" customWidth="true" hidden="false" outlineLevel="0" max="3" min="3" style="0" width="52"/>
  </cols>
  <sheetData>
    <row r="1" customFormat="false" ht="15" hidden="false" customHeight="false" outlineLevel="0" collapsed="false">
      <c r="A1" s="1" t="s">
        <v>98</v>
      </c>
    </row>
    <row r="3" customFormat="false" ht="15" hidden="false" customHeight="false" outlineLevel="0" collapsed="false">
      <c r="A3" s="13" t="s">
        <v>99</v>
      </c>
      <c r="B3" s="13" t="s">
        <v>100</v>
      </c>
      <c r="C3" s="13" t="s">
        <v>101</v>
      </c>
    </row>
    <row r="4" customFormat="false" ht="15" hidden="false" customHeight="false" outlineLevel="0" collapsed="false">
      <c r="A4" s="14" t="s">
        <v>102</v>
      </c>
      <c r="B4" s="15" t="n">
        <v>4.7616</v>
      </c>
      <c r="C4" s="14" t="s">
        <v>103</v>
      </c>
    </row>
    <row r="5" customFormat="false" ht="15" hidden="false" customHeight="false" outlineLevel="0" collapsed="false">
      <c r="A5" s="14" t="s">
        <v>104</v>
      </c>
      <c r="B5" s="15" t="n">
        <v>5.3527</v>
      </c>
      <c r="C5" s="14" t="s">
        <v>103</v>
      </c>
    </row>
    <row r="6" customFormat="false" ht="15" hidden="false" customHeight="false" outlineLevel="0" collapsed="false">
      <c r="A6" s="14" t="s">
        <v>105</v>
      </c>
      <c r="B6" s="16" t="n">
        <v>0.21</v>
      </c>
      <c r="C6" s="14" t="s">
        <v>106</v>
      </c>
    </row>
    <row r="7" customFormat="false" ht="15" hidden="false" customHeight="false" outlineLevel="0" collapsed="false">
      <c r="A7" s="14" t="s">
        <v>107</v>
      </c>
      <c r="B7" s="15" t="n">
        <v>3</v>
      </c>
      <c r="C7" s="14" t="s">
        <v>108</v>
      </c>
    </row>
    <row r="8" customFormat="false" ht="15" hidden="false" customHeight="false" outlineLevel="0" collapsed="false">
      <c r="A8" s="14" t="s">
        <v>109</v>
      </c>
      <c r="B8" s="15" t="n">
        <v>25</v>
      </c>
      <c r="C8" s="14" t="s">
        <v>110</v>
      </c>
    </row>
    <row r="9" customFormat="false" ht="15" hidden="false" customHeight="false" outlineLevel="0" collapsed="false">
      <c r="A9" s="14" t="s">
        <v>111</v>
      </c>
      <c r="B9" s="15" t="n">
        <v>50</v>
      </c>
      <c r="C9" s="14" t="s">
        <v>99</v>
      </c>
    </row>
    <row r="10" customFormat="false" ht="15" hidden="false" customHeight="false" outlineLevel="0" collapsed="false">
      <c r="A10" s="14" t="s">
        <v>112</v>
      </c>
      <c r="B10" s="16" t="n">
        <v>0.05</v>
      </c>
      <c r="C10" s="14" t="s">
        <v>99</v>
      </c>
    </row>
    <row r="11" customFormat="false" ht="15" hidden="false" customHeight="false" outlineLevel="0" collapsed="false">
      <c r="A11" s="14" t="s">
        <v>113</v>
      </c>
      <c r="B11" s="15" t="n">
        <v>2</v>
      </c>
      <c r="C11" s="14" t="s">
        <v>99</v>
      </c>
    </row>
    <row r="12" customFormat="false" ht="15" hidden="false" customHeight="false" outlineLevel="0" collapsed="false">
      <c r="A12" s="14" t="s">
        <v>114</v>
      </c>
      <c r="B12" s="15" t="n">
        <v>1.5</v>
      </c>
      <c r="C12" s="14" t="s">
        <v>99</v>
      </c>
    </row>
    <row r="13" customFormat="false" ht="15" hidden="false" customHeight="false" outlineLevel="0" collapsed="false">
      <c r="A13" s="14" t="s">
        <v>115</v>
      </c>
      <c r="B13" s="15" t="n">
        <v>17</v>
      </c>
      <c r="C13" s="14" t="s">
        <v>116</v>
      </c>
    </row>
    <row r="14" customFormat="false" ht="15" hidden="false" customHeight="false" outlineLevel="0" collapsed="false">
      <c r="A14" s="14" t="s">
        <v>117</v>
      </c>
      <c r="B14" s="15" t="n">
        <v>2</v>
      </c>
      <c r="C14" s="14" t="s">
        <v>99</v>
      </c>
    </row>
    <row r="15" customFormat="false" ht="15" hidden="false" customHeight="false" outlineLevel="0" collapsed="false">
      <c r="A15" s="14" t="s">
        <v>118</v>
      </c>
      <c r="B15" s="16" t="n">
        <v>0.025</v>
      </c>
      <c r="C15" s="14" t="s">
        <v>99</v>
      </c>
    </row>
    <row r="16" customFormat="false" ht="15" hidden="false" customHeight="false" outlineLevel="0" collapsed="false">
      <c r="A16" s="14" t="s">
        <v>119</v>
      </c>
      <c r="B16" s="16" t="n">
        <v>0.01</v>
      </c>
      <c r="C16" s="14" t="s">
        <v>120</v>
      </c>
    </row>
    <row r="17" customFormat="false" ht="15" hidden="false" customHeight="false" outlineLevel="0" collapsed="false">
      <c r="A17" s="14" t="s">
        <v>121</v>
      </c>
      <c r="B17" s="16" t="n">
        <v>0.06</v>
      </c>
      <c r="C17" s="14" t="s">
        <v>99</v>
      </c>
    </row>
    <row r="18" customFormat="false" ht="15" hidden="false" customHeight="false" outlineLevel="0" collapsed="false">
      <c r="A18" s="14" t="s">
        <v>122</v>
      </c>
      <c r="B18" s="16" t="n">
        <v>0.03</v>
      </c>
      <c r="C18" s="14" t="s">
        <v>99</v>
      </c>
    </row>
    <row r="19" customFormat="false" ht="15" hidden="false" customHeight="false" outlineLevel="0" collapsed="false">
      <c r="A19" s="14" t="s">
        <v>123</v>
      </c>
      <c r="B19" s="15" t="n">
        <v>20</v>
      </c>
      <c r="C19" s="14" t="s">
        <v>124</v>
      </c>
    </row>
    <row r="20" customFormat="false" ht="15" hidden="false" customHeight="false" outlineLevel="0" collapsed="false">
      <c r="A20" s="14" t="s">
        <v>125</v>
      </c>
      <c r="B20" s="15" t="n">
        <v>40</v>
      </c>
      <c r="C20" s="14" t="s">
        <v>124</v>
      </c>
    </row>
    <row r="21" customFormat="false" ht="15" hidden="false" customHeight="false" outlineLevel="0" collapsed="false">
      <c r="A21" s="14" t="s">
        <v>126</v>
      </c>
      <c r="B21" s="15" t="n">
        <v>3</v>
      </c>
      <c r="C21" s="14" t="s">
        <v>127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2026-10-19T07:25:12Z</dcterms:created>
  <dc:creator>openpyxl</dc:creator>
  <dc:description/>
  <dc:language>en-US</dc:language>
  <cp:lastModifiedBy/>
  <dcterms:modified xsi:type="dcterms:W3CDTF">2026-10-19T07:25:12Z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